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2004d\OneDrive\Рабочий стол\"/>
    </mc:Choice>
  </mc:AlternateContent>
  <xr:revisionPtr revIDLastSave="0" documentId="8_{BAD48309-BD56-45AC-BD6F-67D8664EFE93}" xr6:coauthVersionLast="47" xr6:coauthVersionMax="47" xr10:uidLastSave="{00000000-0000-0000-0000-000000000000}"/>
  <bookViews>
    <workbookView xWindow="-108" yWindow="492" windowWidth="23256" windowHeight="12576" xr2:uid="{00000000-000D-0000-FFFF-FFFF00000000}"/>
  </bookViews>
  <sheets>
    <sheet name="расч.З.П. " sheetId="1" r:id="rId1"/>
  </sheets>
  <externalReferences>
    <externalReference r:id="rId2"/>
    <externalReference r:id="rId3"/>
  </externalReferences>
  <definedNames>
    <definedName name="_C1">'[1]1-3'!$C$6</definedName>
    <definedName name="_C2">'[1]1-3'!$C$7</definedName>
    <definedName name="A">'[1]1-3'!$C$4</definedName>
    <definedName name="B">'[1]1-3'!$C$5</definedName>
    <definedName name="КУРС">[2]СЧЕТ!$B$19</definedName>
    <definedName name="МРОТ">'расч.З.П. '!$D$5</definedName>
    <definedName name="МРОТ_UP_ОМС">'расч.З.П. '!$R$13</definedName>
    <definedName name="МРОТ_UP_ПФ">'расч.З.П. '!$N$13</definedName>
    <definedName name="МРОТ_ОМС">'расч.З.П. '!$Q$13</definedName>
    <definedName name="МРОТ_ПФ">'расч.З.П. '!$M$13</definedName>
    <definedName name="МРОТUP_ПФ">'расч.З.П. '!$N$13</definedName>
    <definedName name="Нагр_UP_MROT">'расч.З.П. '!$H$38</definedName>
    <definedName name="НагрузкаМРОТ">'расч.З.П. '!$H$38</definedName>
    <definedName name="ОМС_МРОТ">'расч.З.П. '!$Q$13</definedName>
    <definedName name="СЛУЧАЙ">'расч.З.П. '!#REF!</definedName>
    <definedName name="СОЦ_СТРАХ">'расч.З.П. '!$O$13</definedName>
    <definedName name="сумма">'[1]Ставки(сложный %%)'!$D$2</definedName>
    <definedName name="Травматизм">'расч.З.П. '!$L$13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2" i="1" l="1"/>
  <c r="H32" i="1"/>
  <c r="E32" i="1"/>
  <c r="D32" i="1"/>
  <c r="D6" i="1" s="1"/>
  <c r="C32" i="1"/>
  <c r="R31" i="1"/>
  <c r="Q31" i="1"/>
  <c r="O31" i="1"/>
  <c r="N31" i="1"/>
  <c r="M31" i="1"/>
  <c r="L31" i="1"/>
  <c r="I31" i="1"/>
  <c r="F31" i="1"/>
  <c r="R30" i="1"/>
  <c r="Q30" i="1"/>
  <c r="O30" i="1"/>
  <c r="N30" i="1"/>
  <c r="M30" i="1"/>
  <c r="L30" i="1"/>
  <c r="F30" i="1"/>
  <c r="I30" i="1" s="1"/>
  <c r="R29" i="1"/>
  <c r="Q29" i="1"/>
  <c r="O29" i="1"/>
  <c r="N29" i="1"/>
  <c r="M29" i="1"/>
  <c r="L29" i="1"/>
  <c r="F29" i="1"/>
  <c r="I29" i="1" s="1"/>
  <c r="R28" i="1"/>
  <c r="Q28" i="1"/>
  <c r="O28" i="1"/>
  <c r="N28" i="1"/>
  <c r="M28" i="1"/>
  <c r="L28" i="1"/>
  <c r="F28" i="1"/>
  <c r="I28" i="1" s="1"/>
  <c r="R27" i="1"/>
  <c r="Q27" i="1"/>
  <c r="O27" i="1"/>
  <c r="N27" i="1"/>
  <c r="M27" i="1"/>
  <c r="L27" i="1"/>
  <c r="S27" i="1" s="1"/>
  <c r="F27" i="1"/>
  <c r="I27" i="1" s="1"/>
  <c r="R26" i="1"/>
  <c r="Q26" i="1"/>
  <c r="O26" i="1"/>
  <c r="N26" i="1"/>
  <c r="M26" i="1"/>
  <c r="L26" i="1"/>
  <c r="F26" i="1"/>
  <c r="I26" i="1" s="1"/>
  <c r="R25" i="1"/>
  <c r="Q25" i="1"/>
  <c r="O25" i="1"/>
  <c r="N25" i="1"/>
  <c r="M25" i="1"/>
  <c r="L25" i="1"/>
  <c r="F25" i="1"/>
  <c r="I25" i="1" s="1"/>
  <c r="R24" i="1"/>
  <c r="Q24" i="1"/>
  <c r="O24" i="1"/>
  <c r="N24" i="1"/>
  <c r="M24" i="1"/>
  <c r="L24" i="1"/>
  <c r="F24" i="1"/>
  <c r="I24" i="1" s="1"/>
  <c r="R23" i="1"/>
  <c r="Q23" i="1"/>
  <c r="O23" i="1"/>
  <c r="N23" i="1"/>
  <c r="M23" i="1"/>
  <c r="L23" i="1"/>
  <c r="F23" i="1"/>
  <c r="I23" i="1" s="1"/>
  <c r="R22" i="1"/>
  <c r="Q22" i="1"/>
  <c r="O22" i="1"/>
  <c r="N22" i="1"/>
  <c r="M22" i="1"/>
  <c r="L22" i="1"/>
  <c r="F22" i="1"/>
  <c r="I22" i="1" s="1"/>
  <c r="R21" i="1"/>
  <c r="Q21" i="1"/>
  <c r="O21" i="1"/>
  <c r="N21" i="1"/>
  <c r="M21" i="1"/>
  <c r="L21" i="1"/>
  <c r="F21" i="1"/>
  <c r="I21" i="1" s="1"/>
  <c r="R20" i="1"/>
  <c r="Q20" i="1"/>
  <c r="O20" i="1"/>
  <c r="N20" i="1"/>
  <c r="M20" i="1"/>
  <c r="L20" i="1"/>
  <c r="F20" i="1"/>
  <c r="R19" i="1"/>
  <c r="Q19" i="1"/>
  <c r="O19" i="1"/>
  <c r="N19" i="1"/>
  <c r="M19" i="1"/>
  <c r="L19" i="1"/>
  <c r="F19" i="1"/>
  <c r="I19" i="1" s="1"/>
  <c r="R18" i="1"/>
  <c r="Q18" i="1"/>
  <c r="O18" i="1"/>
  <c r="N18" i="1"/>
  <c r="M18" i="1"/>
  <c r="L18" i="1"/>
  <c r="F18" i="1"/>
  <c r="I18" i="1" s="1"/>
  <c r="R17" i="1"/>
  <c r="Q17" i="1"/>
  <c r="O17" i="1"/>
  <c r="N17" i="1"/>
  <c r="M17" i="1"/>
  <c r="L17" i="1"/>
  <c r="F17" i="1"/>
  <c r="I17" i="1" s="1"/>
  <c r="R16" i="1"/>
  <c r="Q16" i="1"/>
  <c r="O16" i="1"/>
  <c r="N16" i="1"/>
  <c r="M16" i="1"/>
  <c r="L16" i="1"/>
  <c r="F16" i="1"/>
  <c r="I16" i="1" s="1"/>
  <c r="R15" i="1"/>
  <c r="Q15" i="1"/>
  <c r="O15" i="1"/>
  <c r="N15" i="1"/>
  <c r="M15" i="1"/>
  <c r="L15" i="1"/>
  <c r="F15" i="1"/>
  <c r="S19" i="1" l="1"/>
  <c r="Q32" i="1"/>
  <c r="S15" i="1"/>
  <c r="S23" i="1"/>
  <c r="S26" i="1"/>
  <c r="S22" i="1"/>
  <c r="S18" i="1"/>
  <c r="F32" i="1"/>
  <c r="C33" i="1"/>
  <c r="I15" i="1"/>
  <c r="C44" i="1" s="1"/>
  <c r="M32" i="1"/>
  <c r="O32" i="1"/>
  <c r="S16" i="1"/>
  <c r="S17" i="1"/>
  <c r="R32" i="1"/>
  <c r="S20" i="1"/>
  <c r="S21" i="1"/>
  <c r="S24" i="1"/>
  <c r="S25" i="1"/>
  <c r="S28" i="1"/>
  <c r="S29" i="1"/>
  <c r="S30" i="1"/>
  <c r="S31" i="1"/>
  <c r="H39" i="1"/>
  <c r="N32" i="1"/>
  <c r="C42" i="1"/>
  <c r="I20" i="1"/>
  <c r="I32" i="1"/>
  <c r="L32" i="1"/>
  <c r="I42" i="1" a="1"/>
  <c r="H38" i="1" l="1"/>
  <c r="C43" i="1"/>
  <c r="D42" i="1" s="1" a="1"/>
  <c r="I46" i="1"/>
  <c r="I42" i="1"/>
  <c r="I44" i="1"/>
  <c r="I45" i="1"/>
  <c r="I43" i="1"/>
  <c r="I47" i="1" l="1"/>
  <c r="D43" i="1"/>
  <c r="D45" i="1"/>
  <c r="D42" i="1"/>
  <c r="D44" i="1"/>
  <c r="D4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B15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Директор - учредитель компании
</t>
        </r>
      </text>
    </comment>
  </commentList>
</comments>
</file>

<file path=xl/sharedStrings.xml><?xml version="1.0" encoding="utf-8"?>
<sst xmlns="http://schemas.openxmlformats.org/spreadsheetml/2006/main" count="93" uniqueCount="68">
  <si>
    <t>ООО "ГРУП ТРИ"</t>
  </si>
  <si>
    <t>Налоговая Карточка</t>
  </si>
  <si>
    <t>РАСЧЕТНО-ПЛАТЕЖНАЯ ВЕДОМОСТЬ №</t>
  </si>
  <si>
    <t>МРОТ</t>
  </si>
  <si>
    <t>руб.</t>
  </si>
  <si>
    <t>Премиальный фонд</t>
  </si>
  <si>
    <t>Социальные взносы</t>
  </si>
  <si>
    <t>Премия</t>
  </si>
  <si>
    <t>Удержано и зачтено, руб.</t>
  </si>
  <si>
    <t>Сумма, руб.</t>
  </si>
  <si>
    <t>Деньги получл</t>
  </si>
  <si>
    <t>Страхование от производственного травматизма</t>
  </si>
  <si>
    <t xml:space="preserve">Взносы на пенс.страхование </t>
  </si>
  <si>
    <t xml:space="preserve">Взносы на социальное страхование </t>
  </si>
  <si>
    <t xml:space="preserve">Взносы на медицинское страхование </t>
  </si>
  <si>
    <t>Таб.№</t>
  </si>
  <si>
    <t>Тарифная</t>
  </si>
  <si>
    <t>Вычеты</t>
  </si>
  <si>
    <t>НДФЛ 13%</t>
  </si>
  <si>
    <t>задолженности</t>
  </si>
  <si>
    <t>Ф. И. О.</t>
  </si>
  <si>
    <t>№</t>
  </si>
  <si>
    <t>Должность</t>
  </si>
  <si>
    <t>ставка</t>
  </si>
  <si>
    <t>за</t>
  </si>
  <si>
    <t xml:space="preserve">за </t>
  </si>
  <si>
    <t>к</t>
  </si>
  <si>
    <t>(п/п)</t>
  </si>
  <si>
    <t>оклад</t>
  </si>
  <si>
    <t>органи-</t>
  </si>
  <si>
    <t>работни-</t>
  </si>
  <si>
    <t>выплате</t>
  </si>
  <si>
    <t>&gt; МРОТ</t>
  </si>
  <si>
    <t>зацией</t>
  </si>
  <si>
    <t>ком</t>
  </si>
  <si>
    <t>-</t>
  </si>
  <si>
    <t>Алданов Н.С.</t>
  </si>
  <si>
    <t>Аракелова С.С.</t>
  </si>
  <si>
    <t>Асланова Т.Ф.</t>
  </si>
  <si>
    <t>Бадалян Л.М.</t>
  </si>
  <si>
    <t>Бекбаев Д.Ф.</t>
  </si>
  <si>
    <t>Боброва П. А.</t>
  </si>
  <si>
    <t>Голубин С.А.</t>
  </si>
  <si>
    <t>Гусейнов Р.Т.О.</t>
  </si>
  <si>
    <t>Караваева Н.А.</t>
  </si>
  <si>
    <t>Киселева Н.Г.</t>
  </si>
  <si>
    <t>Жериков Г.Е.</t>
  </si>
  <si>
    <t>Королев М.С.</t>
  </si>
  <si>
    <t>Малекина А.Р.</t>
  </si>
  <si>
    <t>Мамедов Э.В.</t>
  </si>
  <si>
    <t>Петрик В.А.</t>
  </si>
  <si>
    <t>Сивков В.И.</t>
  </si>
  <si>
    <t>Филуменова А.А.</t>
  </si>
  <si>
    <t>Итого</t>
  </si>
  <si>
    <t>По настоящей платежной ведомости выплачена сумма</t>
  </si>
  <si>
    <t>руб. 00 коп.)</t>
  </si>
  <si>
    <t>Налоговая нагрузка на 1 рубль на руки (зп до МРОТ)</t>
  </si>
  <si>
    <t>коп</t>
  </si>
  <si>
    <t>Налоговая нагрузка на 1 рубль на руки (ЗП более МРОТ)</t>
  </si>
  <si>
    <t>Распределения заработной платы ("чистыми" или "на руки")</t>
  </si>
  <si>
    <t>МИН</t>
  </si>
  <si>
    <t>0-10000</t>
  </si>
  <si>
    <t>Ср. ЗП</t>
  </si>
  <si>
    <t>10000-20000</t>
  </si>
  <si>
    <t>МАКС</t>
  </si>
  <si>
    <t>20000-30000</t>
  </si>
  <si>
    <t>30000-40000</t>
  </si>
  <si>
    <t>40000 и более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</si>
</sst>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р_._-;\-* #,##0.00_р_._-;_-* &quot;-&quot;??_р_._-;_-@_-"/>
    <numFmt numFmtId="165" formatCode="_-* #,##0_р_._-;\-* #,##0_р_._-;_-* &quot;-&quot;??_р_._-;_-@_-"/>
  </numFmts>
  <fonts count="2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b/>
      <i/>
      <sz val="18"/>
      <name val="Arial Cyr"/>
      <charset val="204"/>
    </font>
    <font>
      <b/>
      <sz val="10"/>
      <name val="Arial Cyr"/>
      <family val="2"/>
      <charset val="204"/>
    </font>
    <font>
      <b/>
      <sz val="9"/>
      <name val="Arial Cyr"/>
      <charset val="204"/>
    </font>
    <font>
      <sz val="8"/>
      <name val="Arial CYR"/>
      <family val="2"/>
      <charset val="204"/>
    </font>
    <font>
      <b/>
      <sz val="8"/>
      <name val="Arial Cyr"/>
      <charset val="204"/>
    </font>
    <font>
      <sz val="8"/>
      <name val="Arial Cyr"/>
      <charset val="204"/>
    </font>
    <font>
      <sz val="7"/>
      <name val="Arial Cyr"/>
      <charset val="204"/>
    </font>
    <font>
      <b/>
      <i/>
      <sz val="10"/>
      <name val="Arial Cyr"/>
      <charset val="204"/>
    </font>
    <font>
      <i/>
      <sz val="8"/>
      <name val="Arial Cyr"/>
      <family val="2"/>
      <charset val="204"/>
    </font>
    <font>
      <i/>
      <sz val="7"/>
      <name val="Arial Cyr"/>
      <family val="2"/>
      <charset val="204"/>
    </font>
    <font>
      <sz val="12"/>
      <name val="Arial CYR"/>
      <family val="2"/>
      <charset val="204"/>
    </font>
    <font>
      <sz val="10"/>
      <name val="Arial Cyr"/>
      <family val="2"/>
      <charset val="204"/>
    </font>
    <font>
      <sz val="8"/>
      <color rgb="FF000000"/>
      <name val="Times New Roman"/>
      <family val="1"/>
      <charset val="204"/>
    </font>
    <font>
      <sz val="10"/>
      <color rgb="FFFF0000"/>
      <name val="Arial Cyr"/>
      <charset val="204"/>
    </font>
    <font>
      <sz val="8"/>
      <color theme="1"/>
      <name val="Times New Roman"/>
      <family val="1"/>
      <charset val="204"/>
    </font>
    <font>
      <sz val="11"/>
      <name val="Arial CYR"/>
      <family val="2"/>
      <charset val="204"/>
    </font>
    <font>
      <b/>
      <sz val="11"/>
      <name val="Arial Cyr"/>
      <family val="2"/>
      <charset val="204"/>
    </font>
    <font>
      <b/>
      <sz val="10"/>
      <name val="Arial Cyr"/>
      <charset val="204"/>
    </font>
    <font>
      <i/>
      <sz val="10"/>
      <name val="Arial Cyr"/>
      <charset val="204"/>
    </font>
    <font>
      <sz val="9"/>
      <color indexed="81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22">
    <xf numFmtId="0" fontId="0" fillId="0" borderId="0" xfId="0"/>
    <xf numFmtId="0" fontId="2" fillId="0" borderId="0" xfId="1"/>
    <xf numFmtId="2" fontId="5" fillId="0" borderId="1" xfId="1" applyNumberFormat="1" applyFont="1" applyBorder="1"/>
    <xf numFmtId="2" fontId="5" fillId="0" borderId="2" xfId="1" applyNumberFormat="1" applyFont="1" applyBorder="1"/>
    <xf numFmtId="0" fontId="4" fillId="0" borderId="0" xfId="1" applyFont="1" applyAlignment="1">
      <alignment horizontal="center"/>
    </xf>
    <xf numFmtId="2" fontId="5" fillId="0" borderId="0" xfId="1" applyNumberFormat="1" applyFont="1"/>
    <xf numFmtId="0" fontId="6" fillId="0" borderId="6" xfId="1" applyFont="1" applyBorder="1" applyAlignment="1">
      <alignment horizontal="center"/>
    </xf>
    <xf numFmtId="0" fontId="6" fillId="0" borderId="7" xfId="1" applyFont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6" fillId="0" borderId="8" xfId="1" applyFont="1" applyBorder="1" applyAlignment="1"/>
    <xf numFmtId="0" fontId="6" fillId="0" borderId="9" xfId="1" applyFont="1" applyBorder="1" applyAlignment="1"/>
    <xf numFmtId="0" fontId="8" fillId="0" borderId="8" xfId="1" applyFont="1" applyBorder="1" applyAlignment="1">
      <alignment horizontal="center"/>
    </xf>
    <xf numFmtId="0" fontId="6" fillId="0" borderId="13" xfId="1" applyFont="1" applyBorder="1" applyAlignment="1">
      <alignment horizontal="center"/>
    </xf>
    <xf numFmtId="0" fontId="6" fillId="0" borderId="14" xfId="1" applyFont="1" applyBorder="1" applyAlignment="1">
      <alignment horizontal="center"/>
    </xf>
    <xf numFmtId="0" fontId="6" fillId="0" borderId="15" xfId="1" applyFont="1" applyBorder="1" applyAlignment="1">
      <alignment horizontal="center"/>
    </xf>
    <xf numFmtId="0" fontId="2" fillId="0" borderId="16" xfId="1" applyBorder="1"/>
    <xf numFmtId="0" fontId="6" fillId="0" borderId="19" xfId="1" applyFont="1" applyBorder="1" applyAlignment="1">
      <alignment horizontal="center"/>
    </xf>
    <xf numFmtId="0" fontId="6" fillId="0" borderId="16" xfId="1" applyFont="1" applyFill="1" applyBorder="1" applyAlignment="1">
      <alignment horizontal="center"/>
    </xf>
    <xf numFmtId="0" fontId="6" fillId="0" borderId="19" xfId="1" applyFont="1" applyFill="1" applyBorder="1" applyAlignment="1">
      <alignment horizontal="center"/>
    </xf>
    <xf numFmtId="0" fontId="10" fillId="0" borderId="15" xfId="1" applyFont="1" applyBorder="1" applyAlignment="1">
      <alignment horizontal="center"/>
    </xf>
    <xf numFmtId="0" fontId="2" fillId="0" borderId="24" xfId="1" applyBorder="1"/>
    <xf numFmtId="0" fontId="6" fillId="0" borderId="25" xfId="1" applyFont="1" applyBorder="1" applyAlignment="1">
      <alignment horizontal="center"/>
    </xf>
    <xf numFmtId="0" fontId="6" fillId="0" borderId="26" xfId="1" applyFont="1" applyBorder="1" applyAlignment="1">
      <alignment horizontal="center"/>
    </xf>
    <xf numFmtId="0" fontId="6" fillId="0" borderId="27" xfId="1" applyFont="1" applyBorder="1" applyAlignment="1">
      <alignment horizontal="center"/>
    </xf>
    <xf numFmtId="0" fontId="6" fillId="0" borderId="28" xfId="1" applyFont="1" applyBorder="1" applyAlignment="1">
      <alignment horizontal="center"/>
    </xf>
    <xf numFmtId="10" fontId="2" fillId="0" borderId="16" xfId="1" applyNumberFormat="1" applyBorder="1" applyAlignment="1">
      <alignment horizontal="center"/>
    </xf>
    <xf numFmtId="10" fontId="2" fillId="0" borderId="16" xfId="1" applyNumberFormat="1" applyFill="1" applyBorder="1" applyAlignment="1">
      <alignment horizontal="center"/>
    </xf>
    <xf numFmtId="10" fontId="2" fillId="0" borderId="0" xfId="1" applyNumberFormat="1"/>
    <xf numFmtId="0" fontId="6" fillId="0" borderId="29" xfId="1" applyFont="1" applyBorder="1" applyAlignment="1">
      <alignment horizontal="center"/>
    </xf>
    <xf numFmtId="0" fontId="6" fillId="0" borderId="30" xfId="1" applyFont="1" applyBorder="1" applyAlignment="1">
      <alignment horizontal="center"/>
    </xf>
    <xf numFmtId="2" fontId="2" fillId="0" borderId="0" xfId="1" applyNumberFormat="1"/>
    <xf numFmtId="0" fontId="2" fillId="0" borderId="29" xfId="1" applyNumberFormat="1" applyBorder="1" applyAlignment="1">
      <alignment horizontal="center"/>
    </xf>
    <xf numFmtId="0" fontId="2" fillId="0" borderId="31" xfId="1" applyNumberFormat="1" applyBorder="1" applyAlignment="1">
      <alignment horizontal="center"/>
    </xf>
    <xf numFmtId="0" fontId="2" fillId="0" borderId="32" xfId="1" applyNumberFormat="1" applyBorder="1" applyAlignment="1">
      <alignment horizontal="center"/>
    </xf>
    <xf numFmtId="0" fontId="11" fillId="0" borderId="33" xfId="1" applyFont="1" applyFill="1" applyBorder="1" applyAlignment="1">
      <alignment horizontal="center"/>
    </xf>
    <xf numFmtId="0" fontId="12" fillId="0" borderId="34" xfId="1" applyFont="1" applyFill="1" applyBorder="1" applyAlignment="1">
      <alignment horizontal="left"/>
    </xf>
    <xf numFmtId="2" fontId="13" fillId="0" borderId="11" xfId="1" applyNumberFormat="1" applyFont="1" applyFill="1" applyBorder="1" applyAlignment="1">
      <alignment horizontal="right"/>
    </xf>
    <xf numFmtId="2" fontId="14" fillId="0" borderId="11" xfId="1" applyNumberFormat="1" applyFont="1" applyFill="1" applyBorder="1" applyAlignment="1">
      <alignment horizontal="right"/>
    </xf>
    <xf numFmtId="0" fontId="14" fillId="0" borderId="11" xfId="1" applyFont="1" applyFill="1" applyBorder="1" applyAlignment="1">
      <alignment horizontal="right"/>
    </xf>
    <xf numFmtId="2" fontId="14" fillId="0" borderId="7" xfId="1" applyNumberFormat="1" applyFont="1" applyFill="1" applyBorder="1"/>
    <xf numFmtId="0" fontId="15" fillId="3" borderId="24" xfId="0" applyFont="1" applyFill="1" applyBorder="1"/>
    <xf numFmtId="0" fontId="16" fillId="0" borderId="0" xfId="1" applyFont="1"/>
    <xf numFmtId="164" fontId="2" fillId="0" borderId="23" xfId="1" applyNumberFormat="1" applyBorder="1" applyAlignment="1">
      <alignment horizontal="right"/>
    </xf>
    <xf numFmtId="164" fontId="0" fillId="0" borderId="23" xfId="0" applyNumberFormat="1" applyBorder="1"/>
    <xf numFmtId="164" fontId="2" fillId="0" borderId="23" xfId="1" applyNumberFormat="1" applyBorder="1"/>
    <xf numFmtId="2" fontId="2" fillId="0" borderId="24" xfId="1" applyNumberFormat="1" applyBorder="1"/>
    <xf numFmtId="0" fontId="11" fillId="0" borderId="24" xfId="1" applyFont="1" applyFill="1" applyBorder="1" applyAlignment="1">
      <alignment horizontal="center"/>
    </xf>
    <xf numFmtId="0" fontId="12" fillId="0" borderId="24" xfId="1" applyFont="1" applyFill="1" applyBorder="1" applyAlignment="1">
      <alignment horizontal="left"/>
    </xf>
    <xf numFmtId="2" fontId="13" fillId="0" borderId="24" xfId="1" applyNumberFormat="1" applyFont="1" applyFill="1" applyBorder="1" applyAlignment="1">
      <alignment horizontal="right"/>
    </xf>
    <xf numFmtId="2" fontId="14" fillId="0" borderId="24" xfId="1" applyNumberFormat="1" applyFont="1" applyFill="1" applyBorder="1" applyAlignment="1">
      <alignment horizontal="right"/>
    </xf>
    <xf numFmtId="0" fontId="14" fillId="0" borderId="24" xfId="1" applyFont="1" applyFill="1" applyBorder="1" applyAlignment="1">
      <alignment horizontal="right"/>
    </xf>
    <xf numFmtId="2" fontId="14" fillId="0" borderId="17" xfId="1" applyNumberFormat="1" applyFont="1" applyFill="1" applyBorder="1"/>
    <xf numFmtId="164" fontId="2" fillId="0" borderId="24" xfId="1" applyNumberFormat="1" applyBorder="1"/>
    <xf numFmtId="0" fontId="12" fillId="0" borderId="24" xfId="1" applyFont="1" applyFill="1" applyBorder="1" applyAlignment="1">
      <alignment horizontal="left" wrapText="1"/>
    </xf>
    <xf numFmtId="1" fontId="16" fillId="0" borderId="0" xfId="1" applyNumberFormat="1" applyFont="1"/>
    <xf numFmtId="0" fontId="15" fillId="3" borderId="24" xfId="0" applyFont="1" applyFill="1" applyBorder="1" applyAlignment="1">
      <alignment wrapText="1"/>
    </xf>
    <xf numFmtId="0" fontId="17" fillId="3" borderId="24" xfId="0" applyFont="1" applyFill="1" applyBorder="1"/>
    <xf numFmtId="0" fontId="15" fillId="4" borderId="24" xfId="0" applyFont="1" applyFill="1" applyBorder="1" applyAlignment="1">
      <alignment wrapText="1"/>
    </xf>
    <xf numFmtId="0" fontId="11" fillId="0" borderId="35" xfId="1" applyFont="1" applyFill="1" applyBorder="1" applyAlignment="1">
      <alignment horizontal="center"/>
    </xf>
    <xf numFmtId="0" fontId="12" fillId="0" borderId="23" xfId="1" applyFont="1" applyFill="1" applyBorder="1" applyAlignment="1">
      <alignment horizontal="left" wrapText="1"/>
    </xf>
    <xf numFmtId="2" fontId="13" fillId="0" borderId="23" xfId="1" applyNumberFormat="1" applyFont="1" applyFill="1" applyBorder="1" applyAlignment="1">
      <alignment horizontal="right"/>
    </xf>
    <xf numFmtId="2" fontId="14" fillId="0" borderId="19" xfId="1" applyNumberFormat="1" applyFont="1" applyFill="1" applyBorder="1" applyAlignment="1">
      <alignment horizontal="right"/>
    </xf>
    <xf numFmtId="2" fontId="14" fillId="0" borderId="23" xfId="1" applyNumberFormat="1" applyFont="1" applyFill="1" applyBorder="1" applyAlignment="1">
      <alignment horizontal="right"/>
    </xf>
    <xf numFmtId="0" fontId="14" fillId="0" borderId="23" xfId="1" applyFont="1" applyFill="1" applyBorder="1" applyAlignment="1">
      <alignment horizontal="right"/>
    </xf>
    <xf numFmtId="2" fontId="14" fillId="0" borderId="14" xfId="1" applyNumberFormat="1" applyFont="1" applyFill="1" applyBorder="1"/>
    <xf numFmtId="2" fontId="2" fillId="0" borderId="16" xfId="1" applyNumberFormat="1" applyBorder="1"/>
    <xf numFmtId="0" fontId="6" fillId="0" borderId="3" xfId="1" applyFont="1" applyBorder="1" applyAlignment="1">
      <alignment horizontal="left"/>
    </xf>
    <xf numFmtId="0" fontId="6" fillId="0" borderId="31" xfId="1" applyFont="1" applyBorder="1" applyAlignment="1">
      <alignment horizontal="center"/>
    </xf>
    <xf numFmtId="2" fontId="18" fillId="0" borderId="31" xfId="1" applyNumberFormat="1" applyFont="1" applyBorder="1" applyAlignment="1">
      <alignment horizontal="right"/>
    </xf>
    <xf numFmtId="2" fontId="6" fillId="0" borderId="31" xfId="1" applyNumberFormat="1" applyFont="1" applyBorder="1" applyAlignment="1">
      <alignment horizontal="right"/>
    </xf>
    <xf numFmtId="1" fontId="19" fillId="0" borderId="31" xfId="1" applyNumberFormat="1" applyFont="1" applyBorder="1" applyAlignment="1">
      <alignment horizontal="right"/>
    </xf>
    <xf numFmtId="14" fontId="11" fillId="0" borderId="31" xfId="1" applyNumberFormat="1" applyFont="1" applyBorder="1" applyAlignment="1">
      <alignment horizontal="right"/>
    </xf>
    <xf numFmtId="2" fontId="13" fillId="0" borderId="31" xfId="1" applyNumberFormat="1" applyFont="1" applyBorder="1" applyAlignment="1">
      <alignment horizontal="right"/>
    </xf>
    <xf numFmtId="2" fontId="13" fillId="0" borderId="31" xfId="1" applyNumberFormat="1" applyFont="1" applyBorder="1"/>
    <xf numFmtId="0" fontId="2" fillId="0" borderId="28" xfId="1" applyBorder="1"/>
    <xf numFmtId="165" fontId="2" fillId="0" borderId="3" xfId="1" applyNumberFormat="1" applyBorder="1"/>
    <xf numFmtId="165" fontId="0" fillId="0" borderId="23" xfId="0" applyNumberFormat="1" applyBorder="1"/>
    <xf numFmtId="165" fontId="2" fillId="0" borderId="2" xfId="1" applyNumberFormat="1" applyBorder="1"/>
    <xf numFmtId="164" fontId="2" fillId="0" borderId="2" xfId="1" applyNumberFormat="1" applyBorder="1"/>
    <xf numFmtId="0" fontId="2" fillId="0" borderId="5" xfId="1" applyBorder="1"/>
    <xf numFmtId="0" fontId="6" fillId="0" borderId="0" xfId="1" applyFont="1" applyAlignment="1">
      <alignment horizontal="center"/>
    </xf>
    <xf numFmtId="0" fontId="20" fillId="0" borderId="0" xfId="1" applyFont="1"/>
    <xf numFmtId="0" fontId="21" fillId="0" borderId="0" xfId="1" applyFont="1" applyAlignment="1">
      <alignment horizontal="left"/>
    </xf>
    <xf numFmtId="2" fontId="16" fillId="3" borderId="0" xfId="1" applyNumberFormat="1" applyFont="1" applyFill="1"/>
    <xf numFmtId="0" fontId="5" fillId="0" borderId="0" xfId="1" applyFont="1"/>
    <xf numFmtId="1" fontId="2" fillId="0" borderId="24" xfId="1" applyNumberFormat="1" applyBorder="1" applyAlignment="1">
      <alignment horizontal="right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6" fillId="0" borderId="16" xfId="1" applyFont="1" applyBorder="1" applyAlignment="1">
      <alignment horizontal="center" textRotation="43"/>
    </xf>
    <xf numFmtId="0" fontId="2" fillId="0" borderId="19" xfId="1" applyBorder="1" applyAlignment="1">
      <alignment textRotation="43"/>
    </xf>
    <xf numFmtId="0" fontId="2" fillId="0" borderId="28" xfId="1" applyBorder="1" applyAlignment="1">
      <alignment textRotation="43"/>
    </xf>
    <xf numFmtId="2" fontId="14" fillId="0" borderId="3" xfId="1" applyNumberFormat="1" applyFont="1" applyBorder="1" applyAlignment="1">
      <alignment horizontal="center"/>
    </xf>
    <xf numFmtId="0" fontId="14" fillId="0" borderId="5" xfId="1" applyFont="1" applyBorder="1" applyAlignment="1">
      <alignment horizontal="center"/>
    </xf>
    <xf numFmtId="0" fontId="2" fillId="0" borderId="0" xfId="1" applyAlignment="1">
      <alignment horizontal="right"/>
    </xf>
    <xf numFmtId="0" fontId="10" fillId="2" borderId="0" xfId="1" applyFont="1" applyFill="1" applyAlignment="1">
      <alignment horizontal="center"/>
    </xf>
    <xf numFmtId="0" fontId="2" fillId="0" borderId="3" xfId="1" applyBorder="1" applyAlignment="1">
      <alignment horizontal="center"/>
    </xf>
    <xf numFmtId="0" fontId="2" fillId="0" borderId="4" xfId="1" applyBorder="1"/>
    <xf numFmtId="0" fontId="2" fillId="0" borderId="5" xfId="1" applyBorder="1"/>
    <xf numFmtId="0" fontId="7" fillId="2" borderId="6" xfId="1" applyFont="1" applyFill="1" applyBorder="1" applyAlignment="1">
      <alignment horizontal="center" textRotation="43"/>
    </xf>
    <xf numFmtId="0" fontId="7" fillId="2" borderId="13" xfId="1" applyFont="1" applyFill="1" applyBorder="1" applyAlignment="1">
      <alignment horizontal="center" textRotation="43"/>
    </xf>
    <xf numFmtId="0" fontId="7" fillId="2" borderId="25" xfId="1" applyFont="1" applyFill="1" applyBorder="1" applyAlignment="1">
      <alignment horizontal="center" textRotation="43"/>
    </xf>
    <xf numFmtId="0" fontId="8" fillId="0" borderId="8" xfId="1" applyFont="1" applyBorder="1" applyAlignment="1">
      <alignment horizontal="center"/>
    </xf>
    <xf numFmtId="0" fontId="2" fillId="0" borderId="9" xfId="1" applyBorder="1"/>
    <xf numFmtId="0" fontId="2" fillId="0" borderId="10" xfId="1" applyBorder="1"/>
    <xf numFmtId="0" fontId="9" fillId="0" borderId="11" xfId="1" applyFont="1" applyBorder="1" applyAlignment="1">
      <alignment horizontal="center" wrapText="1"/>
    </xf>
    <xf numFmtId="0" fontId="2" fillId="0" borderId="19" xfId="1" applyBorder="1"/>
    <xf numFmtId="0" fontId="2" fillId="0" borderId="23" xfId="1" applyBorder="1"/>
    <xf numFmtId="0" fontId="9" fillId="0" borderId="7" xfId="1" applyFont="1" applyBorder="1" applyAlignment="1">
      <alignment horizontal="center" wrapText="1"/>
    </xf>
    <xf numFmtId="0" fontId="2" fillId="0" borderId="12" xfId="1" applyBorder="1"/>
    <xf numFmtId="0" fontId="2" fillId="0" borderId="14" xfId="1" applyBorder="1"/>
    <xf numFmtId="0" fontId="2" fillId="0" borderId="20" xfId="1" applyBorder="1"/>
    <xf numFmtId="0" fontId="2" fillId="0" borderId="21" xfId="1" applyBorder="1"/>
    <xf numFmtId="0" fontId="2" fillId="0" borderId="22" xfId="1" applyBorder="1"/>
    <xf numFmtId="0" fontId="6" fillId="0" borderId="16" xfId="1" applyFont="1" applyBorder="1" applyAlignment="1">
      <alignment horizontal="center" textRotation="45"/>
    </xf>
    <xf numFmtId="0" fontId="2" fillId="0" borderId="28" xfId="1" applyBorder="1"/>
    <xf numFmtId="0" fontId="6" fillId="0" borderId="16" xfId="1" applyFont="1" applyBorder="1" applyAlignment="1">
      <alignment horizontal="center" textRotation="180"/>
    </xf>
    <xf numFmtId="0" fontId="8" fillId="0" borderId="17" xfId="1" applyFont="1" applyBorder="1" applyAlignment="1">
      <alignment horizontal="center"/>
    </xf>
    <xf numFmtId="0" fontId="2" fillId="0" borderId="18" xfId="1" applyBorder="1"/>
    <xf numFmtId="0" fontId="4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2" fillId="0" borderId="0" xfId="1" applyAlignment="1">
      <alignment horizontal="left"/>
    </xf>
    <xf numFmtId="0" fontId="4" fillId="0" borderId="0" xfId="1" applyFont="1" applyAlignment="1">
      <alignment horizontal="left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525780</xdr:colOff>
          <xdr:row>1</xdr:row>
          <xdr:rowOff>160020</xdr:rowOff>
        </xdr:from>
        <xdr:to>
          <xdr:col>9</xdr:col>
          <xdr:colOff>601980</xdr:colOff>
          <xdr:row>5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ПРЕМИИ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</xdr:row>
          <xdr:rowOff>7620</xdr:rowOff>
        </xdr:from>
        <xdr:to>
          <xdr:col>12</xdr:col>
          <xdr:colOff>83820</xdr:colOff>
          <xdr:row>5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по выплате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047;&#1072;&#1076;&#1072;&#1085;&#1080;&#1103;%20&#1052;&#1077;&#1090;&#1086;&#1076;&#1080;&#1095;&#1082;&#1080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050;&#1044;&#1056;_&#1047;&#1055;_&#1057;&#1095;&#1077;&#109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3"/>
      <sheetName val="ДЗ-27.09"/>
      <sheetName val="Ставки(сложный %%)"/>
      <sheetName val="Ставки(сложный %%) (2)"/>
      <sheetName val="Гистограмма 10 гр."/>
      <sheetName val="Лист4"/>
      <sheetName val="10 Группа"/>
      <sheetName val="Лист3"/>
      <sheetName val="Лист1"/>
      <sheetName val="Лист5"/>
      <sheetName val="Лист2"/>
    </sheetNames>
    <sheetDataSet>
      <sheetData sheetId="0">
        <row r="4">
          <cell r="C4">
            <v>3</v>
          </cell>
        </row>
        <row r="5">
          <cell r="C5">
            <v>1</v>
          </cell>
        </row>
        <row r="6">
          <cell r="C6">
            <v>43</v>
          </cell>
        </row>
        <row r="7">
          <cell r="C7">
            <v>0</v>
          </cell>
        </row>
      </sheetData>
      <sheetData sheetId="1" refreshError="1"/>
      <sheetData sheetId="2">
        <row r="2">
          <cell r="D2">
            <v>100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ДР-21-1кв"/>
      <sheetName val="расч.З.П. -1кв"/>
      <sheetName val="Продажи"/>
      <sheetName val="Лист4"/>
      <sheetName val="Анализ"/>
      <sheetName val="СЧЕТ"/>
      <sheetName val="11.01-1"/>
      <sheetName val="12.01-2"/>
      <sheetName val="14.01-3"/>
      <sheetName val="14.01-4"/>
      <sheetName val="19.01-5"/>
      <sheetName val="19.01-6"/>
      <sheetName val="18.01-7"/>
      <sheetName val="21.01-8"/>
      <sheetName val="22.01-9"/>
      <sheetName val="25.01-11"/>
      <sheetName val="26.01-14"/>
    </sheetNames>
    <sheetDataSet>
      <sheetData sheetId="0" refreshError="1"/>
      <sheetData sheetId="1"/>
      <sheetData sheetId="2"/>
      <sheetData sheetId="3" refreshError="1"/>
      <sheetData sheetId="4" refreshError="1"/>
      <sheetData sheetId="5">
        <row r="19">
          <cell r="B19">
            <v>70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tabColor rgb="FFFFFF00"/>
  </sheetPr>
  <dimension ref="A1:S47"/>
  <sheetViews>
    <sheetView tabSelected="1" zoomScale="70" zoomScaleNormal="70" workbookViewId="0">
      <selection activeCell="U14" sqref="U14"/>
    </sheetView>
  </sheetViews>
  <sheetFormatPr defaultRowHeight="13.2" x14ac:dyDescent="0.25"/>
  <cols>
    <col min="1" max="1" width="6.88671875" style="1" customWidth="1"/>
    <col min="2" max="2" width="8.44140625" style="1" customWidth="1"/>
    <col min="3" max="3" width="14.88671875" style="1" customWidth="1"/>
    <col min="4" max="4" width="12.44140625" style="1" bestFit="1" customWidth="1"/>
    <col min="5" max="5" width="13.33203125" style="1" customWidth="1"/>
    <col min="6" max="6" width="9.5546875" style="1" bestFit="1" customWidth="1"/>
    <col min="7" max="7" width="7.33203125" style="1" customWidth="1"/>
    <col min="8" max="8" width="9.88671875" style="1" customWidth="1"/>
    <col min="9" max="9" width="14.33203125" style="1" bestFit="1" customWidth="1"/>
    <col min="10" max="10" width="14.5546875" style="1" customWidth="1"/>
    <col min="11" max="11" width="2.44140625" style="1" customWidth="1"/>
    <col min="12" max="12" width="12.109375" style="1" customWidth="1"/>
    <col min="13" max="13" width="12.44140625" style="1" customWidth="1"/>
    <col min="14" max="14" width="12.33203125" style="1" customWidth="1"/>
    <col min="15" max="15" width="10" style="1" bestFit="1" customWidth="1"/>
    <col min="16" max="16" width="10.88671875" style="1" customWidth="1"/>
    <col min="17" max="17" width="11.44140625" style="1" customWidth="1"/>
    <col min="18" max="18" width="11.5546875" style="1" bestFit="1" customWidth="1"/>
    <col min="19" max="256" width="8.88671875" style="1"/>
    <col min="257" max="257" width="3.44140625" style="1" customWidth="1"/>
    <col min="258" max="258" width="9.5546875" style="1" customWidth="1"/>
    <col min="259" max="259" width="19.109375" style="1" bestFit="1" customWidth="1"/>
    <col min="260" max="260" width="12.44140625" style="1" bestFit="1" customWidth="1"/>
    <col min="261" max="261" width="13.33203125" style="1" customWidth="1"/>
    <col min="262" max="262" width="7.6640625" style="1" bestFit="1" customWidth="1"/>
    <col min="263" max="263" width="7.33203125" style="1" customWidth="1"/>
    <col min="264" max="264" width="9.88671875" style="1" customWidth="1"/>
    <col min="265" max="265" width="14.33203125" style="1" bestFit="1" customWidth="1"/>
    <col min="266" max="266" width="14.109375" style="1" bestFit="1" customWidth="1"/>
    <col min="267" max="267" width="2.44140625" style="1" customWidth="1"/>
    <col min="268" max="268" width="12.109375" style="1" customWidth="1"/>
    <col min="269" max="269" width="12.44140625" style="1" customWidth="1"/>
    <col min="270" max="270" width="11.5546875" style="1" bestFit="1" customWidth="1"/>
    <col min="271" max="271" width="10" style="1" bestFit="1" customWidth="1"/>
    <col min="272" max="272" width="10.88671875" style="1" customWidth="1"/>
    <col min="273" max="273" width="11.44140625" style="1" customWidth="1"/>
    <col min="274" max="274" width="11.5546875" style="1" bestFit="1" customWidth="1"/>
    <col min="275" max="512" width="8.88671875" style="1"/>
    <col min="513" max="513" width="3.44140625" style="1" customWidth="1"/>
    <col min="514" max="514" width="9.5546875" style="1" customWidth="1"/>
    <col min="515" max="515" width="19.109375" style="1" bestFit="1" customWidth="1"/>
    <col min="516" max="516" width="12.44140625" style="1" bestFit="1" customWidth="1"/>
    <col min="517" max="517" width="13.33203125" style="1" customWidth="1"/>
    <col min="518" max="518" width="7.6640625" style="1" bestFit="1" customWidth="1"/>
    <col min="519" max="519" width="7.33203125" style="1" customWidth="1"/>
    <col min="520" max="520" width="9.88671875" style="1" customWidth="1"/>
    <col min="521" max="521" width="14.33203125" style="1" bestFit="1" customWidth="1"/>
    <col min="522" max="522" width="14.109375" style="1" bestFit="1" customWidth="1"/>
    <col min="523" max="523" width="2.44140625" style="1" customWidth="1"/>
    <col min="524" max="524" width="12.109375" style="1" customWidth="1"/>
    <col min="525" max="525" width="12.44140625" style="1" customWidth="1"/>
    <col min="526" max="526" width="11.5546875" style="1" bestFit="1" customWidth="1"/>
    <col min="527" max="527" width="10" style="1" bestFit="1" customWidth="1"/>
    <col min="528" max="528" width="10.88671875" style="1" customWidth="1"/>
    <col min="529" max="529" width="11.44140625" style="1" customWidth="1"/>
    <col min="530" max="530" width="11.5546875" style="1" bestFit="1" customWidth="1"/>
    <col min="531" max="768" width="8.88671875" style="1"/>
    <col min="769" max="769" width="3.44140625" style="1" customWidth="1"/>
    <col min="770" max="770" width="9.5546875" style="1" customWidth="1"/>
    <col min="771" max="771" width="19.109375" style="1" bestFit="1" customWidth="1"/>
    <col min="772" max="772" width="12.44140625" style="1" bestFit="1" customWidth="1"/>
    <col min="773" max="773" width="13.33203125" style="1" customWidth="1"/>
    <col min="774" max="774" width="7.6640625" style="1" bestFit="1" customWidth="1"/>
    <col min="775" max="775" width="7.33203125" style="1" customWidth="1"/>
    <col min="776" max="776" width="9.88671875" style="1" customWidth="1"/>
    <col min="777" max="777" width="14.33203125" style="1" bestFit="1" customWidth="1"/>
    <col min="778" max="778" width="14.109375" style="1" bestFit="1" customWidth="1"/>
    <col min="779" max="779" width="2.44140625" style="1" customWidth="1"/>
    <col min="780" max="780" width="12.109375" style="1" customWidth="1"/>
    <col min="781" max="781" width="12.44140625" style="1" customWidth="1"/>
    <col min="782" max="782" width="11.5546875" style="1" bestFit="1" customWidth="1"/>
    <col min="783" max="783" width="10" style="1" bestFit="1" customWidth="1"/>
    <col min="784" max="784" width="10.88671875" style="1" customWidth="1"/>
    <col min="785" max="785" width="11.44140625" style="1" customWidth="1"/>
    <col min="786" max="786" width="11.5546875" style="1" bestFit="1" customWidth="1"/>
    <col min="787" max="1024" width="8.88671875" style="1"/>
    <col min="1025" max="1025" width="3.44140625" style="1" customWidth="1"/>
    <col min="1026" max="1026" width="9.5546875" style="1" customWidth="1"/>
    <col min="1027" max="1027" width="19.109375" style="1" bestFit="1" customWidth="1"/>
    <col min="1028" max="1028" width="12.44140625" style="1" bestFit="1" customWidth="1"/>
    <col min="1029" max="1029" width="13.33203125" style="1" customWidth="1"/>
    <col min="1030" max="1030" width="7.6640625" style="1" bestFit="1" customWidth="1"/>
    <col min="1031" max="1031" width="7.33203125" style="1" customWidth="1"/>
    <col min="1032" max="1032" width="9.88671875" style="1" customWidth="1"/>
    <col min="1033" max="1033" width="14.33203125" style="1" bestFit="1" customWidth="1"/>
    <col min="1034" max="1034" width="14.109375" style="1" bestFit="1" customWidth="1"/>
    <col min="1035" max="1035" width="2.44140625" style="1" customWidth="1"/>
    <col min="1036" max="1036" width="12.109375" style="1" customWidth="1"/>
    <col min="1037" max="1037" width="12.44140625" style="1" customWidth="1"/>
    <col min="1038" max="1038" width="11.5546875" style="1" bestFit="1" customWidth="1"/>
    <col min="1039" max="1039" width="10" style="1" bestFit="1" customWidth="1"/>
    <col min="1040" max="1040" width="10.88671875" style="1" customWidth="1"/>
    <col min="1041" max="1041" width="11.44140625" style="1" customWidth="1"/>
    <col min="1042" max="1042" width="11.5546875" style="1" bestFit="1" customWidth="1"/>
    <col min="1043" max="1280" width="8.88671875" style="1"/>
    <col min="1281" max="1281" width="3.44140625" style="1" customWidth="1"/>
    <col min="1282" max="1282" width="9.5546875" style="1" customWidth="1"/>
    <col min="1283" max="1283" width="19.109375" style="1" bestFit="1" customWidth="1"/>
    <col min="1284" max="1284" width="12.44140625" style="1" bestFit="1" customWidth="1"/>
    <col min="1285" max="1285" width="13.33203125" style="1" customWidth="1"/>
    <col min="1286" max="1286" width="7.6640625" style="1" bestFit="1" customWidth="1"/>
    <col min="1287" max="1287" width="7.33203125" style="1" customWidth="1"/>
    <col min="1288" max="1288" width="9.88671875" style="1" customWidth="1"/>
    <col min="1289" max="1289" width="14.33203125" style="1" bestFit="1" customWidth="1"/>
    <col min="1290" max="1290" width="14.109375" style="1" bestFit="1" customWidth="1"/>
    <col min="1291" max="1291" width="2.44140625" style="1" customWidth="1"/>
    <col min="1292" max="1292" width="12.109375" style="1" customWidth="1"/>
    <col min="1293" max="1293" width="12.44140625" style="1" customWidth="1"/>
    <col min="1294" max="1294" width="11.5546875" style="1" bestFit="1" customWidth="1"/>
    <col min="1295" max="1295" width="10" style="1" bestFit="1" customWidth="1"/>
    <col min="1296" max="1296" width="10.88671875" style="1" customWidth="1"/>
    <col min="1297" max="1297" width="11.44140625" style="1" customWidth="1"/>
    <col min="1298" max="1298" width="11.5546875" style="1" bestFit="1" customWidth="1"/>
    <col min="1299" max="1536" width="8.88671875" style="1"/>
    <col min="1537" max="1537" width="3.44140625" style="1" customWidth="1"/>
    <col min="1538" max="1538" width="9.5546875" style="1" customWidth="1"/>
    <col min="1539" max="1539" width="19.109375" style="1" bestFit="1" customWidth="1"/>
    <col min="1540" max="1540" width="12.44140625" style="1" bestFit="1" customWidth="1"/>
    <col min="1541" max="1541" width="13.33203125" style="1" customWidth="1"/>
    <col min="1542" max="1542" width="7.6640625" style="1" bestFit="1" customWidth="1"/>
    <col min="1543" max="1543" width="7.33203125" style="1" customWidth="1"/>
    <col min="1544" max="1544" width="9.88671875" style="1" customWidth="1"/>
    <col min="1545" max="1545" width="14.33203125" style="1" bestFit="1" customWidth="1"/>
    <col min="1546" max="1546" width="14.109375" style="1" bestFit="1" customWidth="1"/>
    <col min="1547" max="1547" width="2.44140625" style="1" customWidth="1"/>
    <col min="1548" max="1548" width="12.109375" style="1" customWidth="1"/>
    <col min="1549" max="1549" width="12.44140625" style="1" customWidth="1"/>
    <col min="1550" max="1550" width="11.5546875" style="1" bestFit="1" customWidth="1"/>
    <col min="1551" max="1551" width="10" style="1" bestFit="1" customWidth="1"/>
    <col min="1552" max="1552" width="10.88671875" style="1" customWidth="1"/>
    <col min="1553" max="1553" width="11.44140625" style="1" customWidth="1"/>
    <col min="1554" max="1554" width="11.5546875" style="1" bestFit="1" customWidth="1"/>
    <col min="1555" max="1792" width="8.88671875" style="1"/>
    <col min="1793" max="1793" width="3.44140625" style="1" customWidth="1"/>
    <col min="1794" max="1794" width="9.5546875" style="1" customWidth="1"/>
    <col min="1795" max="1795" width="19.109375" style="1" bestFit="1" customWidth="1"/>
    <col min="1796" max="1796" width="12.44140625" style="1" bestFit="1" customWidth="1"/>
    <col min="1797" max="1797" width="13.33203125" style="1" customWidth="1"/>
    <col min="1798" max="1798" width="7.6640625" style="1" bestFit="1" customWidth="1"/>
    <col min="1799" max="1799" width="7.33203125" style="1" customWidth="1"/>
    <col min="1800" max="1800" width="9.88671875" style="1" customWidth="1"/>
    <col min="1801" max="1801" width="14.33203125" style="1" bestFit="1" customWidth="1"/>
    <col min="1802" max="1802" width="14.109375" style="1" bestFit="1" customWidth="1"/>
    <col min="1803" max="1803" width="2.44140625" style="1" customWidth="1"/>
    <col min="1804" max="1804" width="12.109375" style="1" customWidth="1"/>
    <col min="1805" max="1805" width="12.44140625" style="1" customWidth="1"/>
    <col min="1806" max="1806" width="11.5546875" style="1" bestFit="1" customWidth="1"/>
    <col min="1807" max="1807" width="10" style="1" bestFit="1" customWidth="1"/>
    <col min="1808" max="1808" width="10.88671875" style="1" customWidth="1"/>
    <col min="1809" max="1809" width="11.44140625" style="1" customWidth="1"/>
    <col min="1810" max="1810" width="11.5546875" style="1" bestFit="1" customWidth="1"/>
    <col min="1811" max="2048" width="8.88671875" style="1"/>
    <col min="2049" max="2049" width="3.44140625" style="1" customWidth="1"/>
    <col min="2050" max="2050" width="9.5546875" style="1" customWidth="1"/>
    <col min="2051" max="2051" width="19.109375" style="1" bestFit="1" customWidth="1"/>
    <col min="2052" max="2052" width="12.44140625" style="1" bestFit="1" customWidth="1"/>
    <col min="2053" max="2053" width="13.33203125" style="1" customWidth="1"/>
    <col min="2054" max="2054" width="7.6640625" style="1" bestFit="1" customWidth="1"/>
    <col min="2055" max="2055" width="7.33203125" style="1" customWidth="1"/>
    <col min="2056" max="2056" width="9.88671875" style="1" customWidth="1"/>
    <col min="2057" max="2057" width="14.33203125" style="1" bestFit="1" customWidth="1"/>
    <col min="2058" max="2058" width="14.109375" style="1" bestFit="1" customWidth="1"/>
    <col min="2059" max="2059" width="2.44140625" style="1" customWidth="1"/>
    <col min="2060" max="2060" width="12.109375" style="1" customWidth="1"/>
    <col min="2061" max="2061" width="12.44140625" style="1" customWidth="1"/>
    <col min="2062" max="2062" width="11.5546875" style="1" bestFit="1" customWidth="1"/>
    <col min="2063" max="2063" width="10" style="1" bestFit="1" customWidth="1"/>
    <col min="2064" max="2064" width="10.88671875" style="1" customWidth="1"/>
    <col min="2065" max="2065" width="11.44140625" style="1" customWidth="1"/>
    <col min="2066" max="2066" width="11.5546875" style="1" bestFit="1" customWidth="1"/>
    <col min="2067" max="2304" width="8.88671875" style="1"/>
    <col min="2305" max="2305" width="3.44140625" style="1" customWidth="1"/>
    <col min="2306" max="2306" width="9.5546875" style="1" customWidth="1"/>
    <col min="2307" max="2307" width="19.109375" style="1" bestFit="1" customWidth="1"/>
    <col min="2308" max="2308" width="12.44140625" style="1" bestFit="1" customWidth="1"/>
    <col min="2309" max="2309" width="13.33203125" style="1" customWidth="1"/>
    <col min="2310" max="2310" width="7.6640625" style="1" bestFit="1" customWidth="1"/>
    <col min="2311" max="2311" width="7.33203125" style="1" customWidth="1"/>
    <col min="2312" max="2312" width="9.88671875" style="1" customWidth="1"/>
    <col min="2313" max="2313" width="14.33203125" style="1" bestFit="1" customWidth="1"/>
    <col min="2314" max="2314" width="14.109375" style="1" bestFit="1" customWidth="1"/>
    <col min="2315" max="2315" width="2.44140625" style="1" customWidth="1"/>
    <col min="2316" max="2316" width="12.109375" style="1" customWidth="1"/>
    <col min="2317" max="2317" width="12.44140625" style="1" customWidth="1"/>
    <col min="2318" max="2318" width="11.5546875" style="1" bestFit="1" customWidth="1"/>
    <col min="2319" max="2319" width="10" style="1" bestFit="1" customWidth="1"/>
    <col min="2320" max="2320" width="10.88671875" style="1" customWidth="1"/>
    <col min="2321" max="2321" width="11.44140625" style="1" customWidth="1"/>
    <col min="2322" max="2322" width="11.5546875" style="1" bestFit="1" customWidth="1"/>
    <col min="2323" max="2560" width="8.88671875" style="1"/>
    <col min="2561" max="2561" width="3.44140625" style="1" customWidth="1"/>
    <col min="2562" max="2562" width="9.5546875" style="1" customWidth="1"/>
    <col min="2563" max="2563" width="19.109375" style="1" bestFit="1" customWidth="1"/>
    <col min="2564" max="2564" width="12.44140625" style="1" bestFit="1" customWidth="1"/>
    <col min="2565" max="2565" width="13.33203125" style="1" customWidth="1"/>
    <col min="2566" max="2566" width="7.6640625" style="1" bestFit="1" customWidth="1"/>
    <col min="2567" max="2567" width="7.33203125" style="1" customWidth="1"/>
    <col min="2568" max="2568" width="9.88671875" style="1" customWidth="1"/>
    <col min="2569" max="2569" width="14.33203125" style="1" bestFit="1" customWidth="1"/>
    <col min="2570" max="2570" width="14.109375" style="1" bestFit="1" customWidth="1"/>
    <col min="2571" max="2571" width="2.44140625" style="1" customWidth="1"/>
    <col min="2572" max="2572" width="12.109375" style="1" customWidth="1"/>
    <col min="2573" max="2573" width="12.44140625" style="1" customWidth="1"/>
    <col min="2574" max="2574" width="11.5546875" style="1" bestFit="1" customWidth="1"/>
    <col min="2575" max="2575" width="10" style="1" bestFit="1" customWidth="1"/>
    <col min="2576" max="2576" width="10.88671875" style="1" customWidth="1"/>
    <col min="2577" max="2577" width="11.44140625" style="1" customWidth="1"/>
    <col min="2578" max="2578" width="11.5546875" style="1" bestFit="1" customWidth="1"/>
    <col min="2579" max="2816" width="8.88671875" style="1"/>
    <col min="2817" max="2817" width="3.44140625" style="1" customWidth="1"/>
    <col min="2818" max="2818" width="9.5546875" style="1" customWidth="1"/>
    <col min="2819" max="2819" width="19.109375" style="1" bestFit="1" customWidth="1"/>
    <col min="2820" max="2820" width="12.44140625" style="1" bestFit="1" customWidth="1"/>
    <col min="2821" max="2821" width="13.33203125" style="1" customWidth="1"/>
    <col min="2822" max="2822" width="7.6640625" style="1" bestFit="1" customWidth="1"/>
    <col min="2823" max="2823" width="7.33203125" style="1" customWidth="1"/>
    <col min="2824" max="2824" width="9.88671875" style="1" customWidth="1"/>
    <col min="2825" max="2825" width="14.33203125" style="1" bestFit="1" customWidth="1"/>
    <col min="2826" max="2826" width="14.109375" style="1" bestFit="1" customWidth="1"/>
    <col min="2827" max="2827" width="2.44140625" style="1" customWidth="1"/>
    <col min="2828" max="2828" width="12.109375" style="1" customWidth="1"/>
    <col min="2829" max="2829" width="12.44140625" style="1" customWidth="1"/>
    <col min="2830" max="2830" width="11.5546875" style="1" bestFit="1" customWidth="1"/>
    <col min="2831" max="2831" width="10" style="1" bestFit="1" customWidth="1"/>
    <col min="2832" max="2832" width="10.88671875" style="1" customWidth="1"/>
    <col min="2833" max="2833" width="11.44140625" style="1" customWidth="1"/>
    <col min="2834" max="2834" width="11.5546875" style="1" bestFit="1" customWidth="1"/>
    <col min="2835" max="3072" width="8.88671875" style="1"/>
    <col min="3073" max="3073" width="3.44140625" style="1" customWidth="1"/>
    <col min="3074" max="3074" width="9.5546875" style="1" customWidth="1"/>
    <col min="3075" max="3075" width="19.109375" style="1" bestFit="1" customWidth="1"/>
    <col min="3076" max="3076" width="12.44140625" style="1" bestFit="1" customWidth="1"/>
    <col min="3077" max="3077" width="13.33203125" style="1" customWidth="1"/>
    <col min="3078" max="3078" width="7.6640625" style="1" bestFit="1" customWidth="1"/>
    <col min="3079" max="3079" width="7.33203125" style="1" customWidth="1"/>
    <col min="3080" max="3080" width="9.88671875" style="1" customWidth="1"/>
    <col min="3081" max="3081" width="14.33203125" style="1" bestFit="1" customWidth="1"/>
    <col min="3082" max="3082" width="14.109375" style="1" bestFit="1" customWidth="1"/>
    <col min="3083" max="3083" width="2.44140625" style="1" customWidth="1"/>
    <col min="3084" max="3084" width="12.109375" style="1" customWidth="1"/>
    <col min="3085" max="3085" width="12.44140625" style="1" customWidth="1"/>
    <col min="3086" max="3086" width="11.5546875" style="1" bestFit="1" customWidth="1"/>
    <col min="3087" max="3087" width="10" style="1" bestFit="1" customWidth="1"/>
    <col min="3088" max="3088" width="10.88671875" style="1" customWidth="1"/>
    <col min="3089" max="3089" width="11.44140625" style="1" customWidth="1"/>
    <col min="3090" max="3090" width="11.5546875" style="1" bestFit="1" customWidth="1"/>
    <col min="3091" max="3328" width="8.88671875" style="1"/>
    <col min="3329" max="3329" width="3.44140625" style="1" customWidth="1"/>
    <col min="3330" max="3330" width="9.5546875" style="1" customWidth="1"/>
    <col min="3331" max="3331" width="19.109375" style="1" bestFit="1" customWidth="1"/>
    <col min="3332" max="3332" width="12.44140625" style="1" bestFit="1" customWidth="1"/>
    <col min="3333" max="3333" width="13.33203125" style="1" customWidth="1"/>
    <col min="3334" max="3334" width="7.6640625" style="1" bestFit="1" customWidth="1"/>
    <col min="3335" max="3335" width="7.33203125" style="1" customWidth="1"/>
    <col min="3336" max="3336" width="9.88671875" style="1" customWidth="1"/>
    <col min="3337" max="3337" width="14.33203125" style="1" bestFit="1" customWidth="1"/>
    <col min="3338" max="3338" width="14.109375" style="1" bestFit="1" customWidth="1"/>
    <col min="3339" max="3339" width="2.44140625" style="1" customWidth="1"/>
    <col min="3340" max="3340" width="12.109375" style="1" customWidth="1"/>
    <col min="3341" max="3341" width="12.44140625" style="1" customWidth="1"/>
    <col min="3342" max="3342" width="11.5546875" style="1" bestFit="1" customWidth="1"/>
    <col min="3343" max="3343" width="10" style="1" bestFit="1" customWidth="1"/>
    <col min="3344" max="3344" width="10.88671875" style="1" customWidth="1"/>
    <col min="3345" max="3345" width="11.44140625" style="1" customWidth="1"/>
    <col min="3346" max="3346" width="11.5546875" style="1" bestFit="1" customWidth="1"/>
    <col min="3347" max="3584" width="8.88671875" style="1"/>
    <col min="3585" max="3585" width="3.44140625" style="1" customWidth="1"/>
    <col min="3586" max="3586" width="9.5546875" style="1" customWidth="1"/>
    <col min="3587" max="3587" width="19.109375" style="1" bestFit="1" customWidth="1"/>
    <col min="3588" max="3588" width="12.44140625" style="1" bestFit="1" customWidth="1"/>
    <col min="3589" max="3589" width="13.33203125" style="1" customWidth="1"/>
    <col min="3590" max="3590" width="7.6640625" style="1" bestFit="1" customWidth="1"/>
    <col min="3591" max="3591" width="7.33203125" style="1" customWidth="1"/>
    <col min="3592" max="3592" width="9.88671875" style="1" customWidth="1"/>
    <col min="3593" max="3593" width="14.33203125" style="1" bestFit="1" customWidth="1"/>
    <col min="3594" max="3594" width="14.109375" style="1" bestFit="1" customWidth="1"/>
    <col min="3595" max="3595" width="2.44140625" style="1" customWidth="1"/>
    <col min="3596" max="3596" width="12.109375" style="1" customWidth="1"/>
    <col min="3597" max="3597" width="12.44140625" style="1" customWidth="1"/>
    <col min="3598" max="3598" width="11.5546875" style="1" bestFit="1" customWidth="1"/>
    <col min="3599" max="3599" width="10" style="1" bestFit="1" customWidth="1"/>
    <col min="3600" max="3600" width="10.88671875" style="1" customWidth="1"/>
    <col min="3601" max="3601" width="11.44140625" style="1" customWidth="1"/>
    <col min="3602" max="3602" width="11.5546875" style="1" bestFit="1" customWidth="1"/>
    <col min="3603" max="3840" width="8.88671875" style="1"/>
    <col min="3841" max="3841" width="3.44140625" style="1" customWidth="1"/>
    <col min="3842" max="3842" width="9.5546875" style="1" customWidth="1"/>
    <col min="3843" max="3843" width="19.109375" style="1" bestFit="1" customWidth="1"/>
    <col min="3844" max="3844" width="12.44140625" style="1" bestFit="1" customWidth="1"/>
    <col min="3845" max="3845" width="13.33203125" style="1" customWidth="1"/>
    <col min="3846" max="3846" width="7.6640625" style="1" bestFit="1" customWidth="1"/>
    <col min="3847" max="3847" width="7.33203125" style="1" customWidth="1"/>
    <col min="3848" max="3848" width="9.88671875" style="1" customWidth="1"/>
    <col min="3849" max="3849" width="14.33203125" style="1" bestFit="1" customWidth="1"/>
    <col min="3850" max="3850" width="14.109375" style="1" bestFit="1" customWidth="1"/>
    <col min="3851" max="3851" width="2.44140625" style="1" customWidth="1"/>
    <col min="3852" max="3852" width="12.109375" style="1" customWidth="1"/>
    <col min="3853" max="3853" width="12.44140625" style="1" customWidth="1"/>
    <col min="3854" max="3854" width="11.5546875" style="1" bestFit="1" customWidth="1"/>
    <col min="3855" max="3855" width="10" style="1" bestFit="1" customWidth="1"/>
    <col min="3856" max="3856" width="10.88671875" style="1" customWidth="1"/>
    <col min="3857" max="3857" width="11.44140625" style="1" customWidth="1"/>
    <col min="3858" max="3858" width="11.5546875" style="1" bestFit="1" customWidth="1"/>
    <col min="3859" max="4096" width="8.88671875" style="1"/>
    <col min="4097" max="4097" width="3.44140625" style="1" customWidth="1"/>
    <col min="4098" max="4098" width="9.5546875" style="1" customWidth="1"/>
    <col min="4099" max="4099" width="19.109375" style="1" bestFit="1" customWidth="1"/>
    <col min="4100" max="4100" width="12.44140625" style="1" bestFit="1" customWidth="1"/>
    <col min="4101" max="4101" width="13.33203125" style="1" customWidth="1"/>
    <col min="4102" max="4102" width="7.6640625" style="1" bestFit="1" customWidth="1"/>
    <col min="4103" max="4103" width="7.33203125" style="1" customWidth="1"/>
    <col min="4104" max="4104" width="9.88671875" style="1" customWidth="1"/>
    <col min="4105" max="4105" width="14.33203125" style="1" bestFit="1" customWidth="1"/>
    <col min="4106" max="4106" width="14.109375" style="1" bestFit="1" customWidth="1"/>
    <col min="4107" max="4107" width="2.44140625" style="1" customWidth="1"/>
    <col min="4108" max="4108" width="12.109375" style="1" customWidth="1"/>
    <col min="4109" max="4109" width="12.44140625" style="1" customWidth="1"/>
    <col min="4110" max="4110" width="11.5546875" style="1" bestFit="1" customWidth="1"/>
    <col min="4111" max="4111" width="10" style="1" bestFit="1" customWidth="1"/>
    <col min="4112" max="4112" width="10.88671875" style="1" customWidth="1"/>
    <col min="4113" max="4113" width="11.44140625" style="1" customWidth="1"/>
    <col min="4114" max="4114" width="11.5546875" style="1" bestFit="1" customWidth="1"/>
    <col min="4115" max="4352" width="8.88671875" style="1"/>
    <col min="4353" max="4353" width="3.44140625" style="1" customWidth="1"/>
    <col min="4354" max="4354" width="9.5546875" style="1" customWidth="1"/>
    <col min="4355" max="4355" width="19.109375" style="1" bestFit="1" customWidth="1"/>
    <col min="4356" max="4356" width="12.44140625" style="1" bestFit="1" customWidth="1"/>
    <col min="4357" max="4357" width="13.33203125" style="1" customWidth="1"/>
    <col min="4358" max="4358" width="7.6640625" style="1" bestFit="1" customWidth="1"/>
    <col min="4359" max="4359" width="7.33203125" style="1" customWidth="1"/>
    <col min="4360" max="4360" width="9.88671875" style="1" customWidth="1"/>
    <col min="4361" max="4361" width="14.33203125" style="1" bestFit="1" customWidth="1"/>
    <col min="4362" max="4362" width="14.109375" style="1" bestFit="1" customWidth="1"/>
    <col min="4363" max="4363" width="2.44140625" style="1" customWidth="1"/>
    <col min="4364" max="4364" width="12.109375" style="1" customWidth="1"/>
    <col min="4365" max="4365" width="12.44140625" style="1" customWidth="1"/>
    <col min="4366" max="4366" width="11.5546875" style="1" bestFit="1" customWidth="1"/>
    <col min="4367" max="4367" width="10" style="1" bestFit="1" customWidth="1"/>
    <col min="4368" max="4368" width="10.88671875" style="1" customWidth="1"/>
    <col min="4369" max="4369" width="11.44140625" style="1" customWidth="1"/>
    <col min="4370" max="4370" width="11.5546875" style="1" bestFit="1" customWidth="1"/>
    <col min="4371" max="4608" width="8.88671875" style="1"/>
    <col min="4609" max="4609" width="3.44140625" style="1" customWidth="1"/>
    <col min="4610" max="4610" width="9.5546875" style="1" customWidth="1"/>
    <col min="4611" max="4611" width="19.109375" style="1" bestFit="1" customWidth="1"/>
    <col min="4612" max="4612" width="12.44140625" style="1" bestFit="1" customWidth="1"/>
    <col min="4613" max="4613" width="13.33203125" style="1" customWidth="1"/>
    <col min="4614" max="4614" width="7.6640625" style="1" bestFit="1" customWidth="1"/>
    <col min="4615" max="4615" width="7.33203125" style="1" customWidth="1"/>
    <col min="4616" max="4616" width="9.88671875" style="1" customWidth="1"/>
    <col min="4617" max="4617" width="14.33203125" style="1" bestFit="1" customWidth="1"/>
    <col min="4618" max="4618" width="14.109375" style="1" bestFit="1" customWidth="1"/>
    <col min="4619" max="4619" width="2.44140625" style="1" customWidth="1"/>
    <col min="4620" max="4620" width="12.109375" style="1" customWidth="1"/>
    <col min="4621" max="4621" width="12.44140625" style="1" customWidth="1"/>
    <col min="4622" max="4622" width="11.5546875" style="1" bestFit="1" customWidth="1"/>
    <col min="4623" max="4623" width="10" style="1" bestFit="1" customWidth="1"/>
    <col min="4624" max="4624" width="10.88671875" style="1" customWidth="1"/>
    <col min="4625" max="4625" width="11.44140625" style="1" customWidth="1"/>
    <col min="4626" max="4626" width="11.5546875" style="1" bestFit="1" customWidth="1"/>
    <col min="4627" max="4864" width="8.88671875" style="1"/>
    <col min="4865" max="4865" width="3.44140625" style="1" customWidth="1"/>
    <col min="4866" max="4866" width="9.5546875" style="1" customWidth="1"/>
    <col min="4867" max="4867" width="19.109375" style="1" bestFit="1" customWidth="1"/>
    <col min="4868" max="4868" width="12.44140625" style="1" bestFit="1" customWidth="1"/>
    <col min="4869" max="4869" width="13.33203125" style="1" customWidth="1"/>
    <col min="4870" max="4870" width="7.6640625" style="1" bestFit="1" customWidth="1"/>
    <col min="4871" max="4871" width="7.33203125" style="1" customWidth="1"/>
    <col min="4872" max="4872" width="9.88671875" style="1" customWidth="1"/>
    <col min="4873" max="4873" width="14.33203125" style="1" bestFit="1" customWidth="1"/>
    <col min="4874" max="4874" width="14.109375" style="1" bestFit="1" customWidth="1"/>
    <col min="4875" max="4875" width="2.44140625" style="1" customWidth="1"/>
    <col min="4876" max="4876" width="12.109375" style="1" customWidth="1"/>
    <col min="4877" max="4877" width="12.44140625" style="1" customWidth="1"/>
    <col min="4878" max="4878" width="11.5546875" style="1" bestFit="1" customWidth="1"/>
    <col min="4879" max="4879" width="10" style="1" bestFit="1" customWidth="1"/>
    <col min="4880" max="4880" width="10.88671875" style="1" customWidth="1"/>
    <col min="4881" max="4881" width="11.44140625" style="1" customWidth="1"/>
    <col min="4882" max="4882" width="11.5546875" style="1" bestFit="1" customWidth="1"/>
    <col min="4883" max="5120" width="8.88671875" style="1"/>
    <col min="5121" max="5121" width="3.44140625" style="1" customWidth="1"/>
    <col min="5122" max="5122" width="9.5546875" style="1" customWidth="1"/>
    <col min="5123" max="5123" width="19.109375" style="1" bestFit="1" customWidth="1"/>
    <col min="5124" max="5124" width="12.44140625" style="1" bestFit="1" customWidth="1"/>
    <col min="5125" max="5125" width="13.33203125" style="1" customWidth="1"/>
    <col min="5126" max="5126" width="7.6640625" style="1" bestFit="1" customWidth="1"/>
    <col min="5127" max="5127" width="7.33203125" style="1" customWidth="1"/>
    <col min="5128" max="5128" width="9.88671875" style="1" customWidth="1"/>
    <col min="5129" max="5129" width="14.33203125" style="1" bestFit="1" customWidth="1"/>
    <col min="5130" max="5130" width="14.109375" style="1" bestFit="1" customWidth="1"/>
    <col min="5131" max="5131" width="2.44140625" style="1" customWidth="1"/>
    <col min="5132" max="5132" width="12.109375" style="1" customWidth="1"/>
    <col min="5133" max="5133" width="12.44140625" style="1" customWidth="1"/>
    <col min="5134" max="5134" width="11.5546875" style="1" bestFit="1" customWidth="1"/>
    <col min="5135" max="5135" width="10" style="1" bestFit="1" customWidth="1"/>
    <col min="5136" max="5136" width="10.88671875" style="1" customWidth="1"/>
    <col min="5137" max="5137" width="11.44140625" style="1" customWidth="1"/>
    <col min="5138" max="5138" width="11.5546875" style="1" bestFit="1" customWidth="1"/>
    <col min="5139" max="5376" width="8.88671875" style="1"/>
    <col min="5377" max="5377" width="3.44140625" style="1" customWidth="1"/>
    <col min="5378" max="5378" width="9.5546875" style="1" customWidth="1"/>
    <col min="5379" max="5379" width="19.109375" style="1" bestFit="1" customWidth="1"/>
    <col min="5380" max="5380" width="12.44140625" style="1" bestFit="1" customWidth="1"/>
    <col min="5381" max="5381" width="13.33203125" style="1" customWidth="1"/>
    <col min="5382" max="5382" width="7.6640625" style="1" bestFit="1" customWidth="1"/>
    <col min="5383" max="5383" width="7.33203125" style="1" customWidth="1"/>
    <col min="5384" max="5384" width="9.88671875" style="1" customWidth="1"/>
    <col min="5385" max="5385" width="14.33203125" style="1" bestFit="1" customWidth="1"/>
    <col min="5386" max="5386" width="14.109375" style="1" bestFit="1" customWidth="1"/>
    <col min="5387" max="5387" width="2.44140625" style="1" customWidth="1"/>
    <col min="5388" max="5388" width="12.109375" style="1" customWidth="1"/>
    <col min="5389" max="5389" width="12.44140625" style="1" customWidth="1"/>
    <col min="5390" max="5390" width="11.5546875" style="1" bestFit="1" customWidth="1"/>
    <col min="5391" max="5391" width="10" style="1" bestFit="1" customWidth="1"/>
    <col min="5392" max="5392" width="10.88671875" style="1" customWidth="1"/>
    <col min="5393" max="5393" width="11.44140625" style="1" customWidth="1"/>
    <col min="5394" max="5394" width="11.5546875" style="1" bestFit="1" customWidth="1"/>
    <col min="5395" max="5632" width="8.88671875" style="1"/>
    <col min="5633" max="5633" width="3.44140625" style="1" customWidth="1"/>
    <col min="5634" max="5634" width="9.5546875" style="1" customWidth="1"/>
    <col min="5635" max="5635" width="19.109375" style="1" bestFit="1" customWidth="1"/>
    <col min="5636" max="5636" width="12.44140625" style="1" bestFit="1" customWidth="1"/>
    <col min="5637" max="5637" width="13.33203125" style="1" customWidth="1"/>
    <col min="5638" max="5638" width="7.6640625" style="1" bestFit="1" customWidth="1"/>
    <col min="5639" max="5639" width="7.33203125" style="1" customWidth="1"/>
    <col min="5640" max="5640" width="9.88671875" style="1" customWidth="1"/>
    <col min="5641" max="5641" width="14.33203125" style="1" bestFit="1" customWidth="1"/>
    <col min="5642" max="5642" width="14.109375" style="1" bestFit="1" customWidth="1"/>
    <col min="5643" max="5643" width="2.44140625" style="1" customWidth="1"/>
    <col min="5644" max="5644" width="12.109375" style="1" customWidth="1"/>
    <col min="5645" max="5645" width="12.44140625" style="1" customWidth="1"/>
    <col min="5646" max="5646" width="11.5546875" style="1" bestFit="1" customWidth="1"/>
    <col min="5647" max="5647" width="10" style="1" bestFit="1" customWidth="1"/>
    <col min="5648" max="5648" width="10.88671875" style="1" customWidth="1"/>
    <col min="5649" max="5649" width="11.44140625" style="1" customWidth="1"/>
    <col min="5650" max="5650" width="11.5546875" style="1" bestFit="1" customWidth="1"/>
    <col min="5651" max="5888" width="8.88671875" style="1"/>
    <col min="5889" max="5889" width="3.44140625" style="1" customWidth="1"/>
    <col min="5890" max="5890" width="9.5546875" style="1" customWidth="1"/>
    <col min="5891" max="5891" width="19.109375" style="1" bestFit="1" customWidth="1"/>
    <col min="5892" max="5892" width="12.44140625" style="1" bestFit="1" customWidth="1"/>
    <col min="5893" max="5893" width="13.33203125" style="1" customWidth="1"/>
    <col min="5894" max="5894" width="7.6640625" style="1" bestFit="1" customWidth="1"/>
    <col min="5895" max="5895" width="7.33203125" style="1" customWidth="1"/>
    <col min="5896" max="5896" width="9.88671875" style="1" customWidth="1"/>
    <col min="5897" max="5897" width="14.33203125" style="1" bestFit="1" customWidth="1"/>
    <col min="5898" max="5898" width="14.109375" style="1" bestFit="1" customWidth="1"/>
    <col min="5899" max="5899" width="2.44140625" style="1" customWidth="1"/>
    <col min="5900" max="5900" width="12.109375" style="1" customWidth="1"/>
    <col min="5901" max="5901" width="12.44140625" style="1" customWidth="1"/>
    <col min="5902" max="5902" width="11.5546875" style="1" bestFit="1" customWidth="1"/>
    <col min="5903" max="5903" width="10" style="1" bestFit="1" customWidth="1"/>
    <col min="5904" max="5904" width="10.88671875" style="1" customWidth="1"/>
    <col min="5905" max="5905" width="11.44140625" style="1" customWidth="1"/>
    <col min="5906" max="5906" width="11.5546875" style="1" bestFit="1" customWidth="1"/>
    <col min="5907" max="6144" width="8.88671875" style="1"/>
    <col min="6145" max="6145" width="3.44140625" style="1" customWidth="1"/>
    <col min="6146" max="6146" width="9.5546875" style="1" customWidth="1"/>
    <col min="6147" max="6147" width="19.109375" style="1" bestFit="1" customWidth="1"/>
    <col min="6148" max="6148" width="12.44140625" style="1" bestFit="1" customWidth="1"/>
    <col min="6149" max="6149" width="13.33203125" style="1" customWidth="1"/>
    <col min="6150" max="6150" width="7.6640625" style="1" bestFit="1" customWidth="1"/>
    <col min="6151" max="6151" width="7.33203125" style="1" customWidth="1"/>
    <col min="6152" max="6152" width="9.88671875" style="1" customWidth="1"/>
    <col min="6153" max="6153" width="14.33203125" style="1" bestFit="1" customWidth="1"/>
    <col min="6154" max="6154" width="14.109375" style="1" bestFit="1" customWidth="1"/>
    <col min="6155" max="6155" width="2.44140625" style="1" customWidth="1"/>
    <col min="6156" max="6156" width="12.109375" style="1" customWidth="1"/>
    <col min="6157" max="6157" width="12.44140625" style="1" customWidth="1"/>
    <col min="6158" max="6158" width="11.5546875" style="1" bestFit="1" customWidth="1"/>
    <col min="6159" max="6159" width="10" style="1" bestFit="1" customWidth="1"/>
    <col min="6160" max="6160" width="10.88671875" style="1" customWidth="1"/>
    <col min="6161" max="6161" width="11.44140625" style="1" customWidth="1"/>
    <col min="6162" max="6162" width="11.5546875" style="1" bestFit="1" customWidth="1"/>
    <col min="6163" max="6400" width="8.88671875" style="1"/>
    <col min="6401" max="6401" width="3.44140625" style="1" customWidth="1"/>
    <col min="6402" max="6402" width="9.5546875" style="1" customWidth="1"/>
    <col min="6403" max="6403" width="19.109375" style="1" bestFit="1" customWidth="1"/>
    <col min="6404" max="6404" width="12.44140625" style="1" bestFit="1" customWidth="1"/>
    <col min="6405" max="6405" width="13.33203125" style="1" customWidth="1"/>
    <col min="6406" max="6406" width="7.6640625" style="1" bestFit="1" customWidth="1"/>
    <col min="6407" max="6407" width="7.33203125" style="1" customWidth="1"/>
    <col min="6408" max="6408" width="9.88671875" style="1" customWidth="1"/>
    <col min="6409" max="6409" width="14.33203125" style="1" bestFit="1" customWidth="1"/>
    <col min="6410" max="6410" width="14.109375" style="1" bestFit="1" customWidth="1"/>
    <col min="6411" max="6411" width="2.44140625" style="1" customWidth="1"/>
    <col min="6412" max="6412" width="12.109375" style="1" customWidth="1"/>
    <col min="6413" max="6413" width="12.44140625" style="1" customWidth="1"/>
    <col min="6414" max="6414" width="11.5546875" style="1" bestFit="1" customWidth="1"/>
    <col min="6415" max="6415" width="10" style="1" bestFit="1" customWidth="1"/>
    <col min="6416" max="6416" width="10.88671875" style="1" customWidth="1"/>
    <col min="6417" max="6417" width="11.44140625" style="1" customWidth="1"/>
    <col min="6418" max="6418" width="11.5546875" style="1" bestFit="1" customWidth="1"/>
    <col min="6419" max="6656" width="8.88671875" style="1"/>
    <col min="6657" max="6657" width="3.44140625" style="1" customWidth="1"/>
    <col min="6658" max="6658" width="9.5546875" style="1" customWidth="1"/>
    <col min="6659" max="6659" width="19.109375" style="1" bestFit="1" customWidth="1"/>
    <col min="6660" max="6660" width="12.44140625" style="1" bestFit="1" customWidth="1"/>
    <col min="6661" max="6661" width="13.33203125" style="1" customWidth="1"/>
    <col min="6662" max="6662" width="7.6640625" style="1" bestFit="1" customWidth="1"/>
    <col min="6663" max="6663" width="7.33203125" style="1" customWidth="1"/>
    <col min="6664" max="6664" width="9.88671875" style="1" customWidth="1"/>
    <col min="6665" max="6665" width="14.33203125" style="1" bestFit="1" customWidth="1"/>
    <col min="6666" max="6666" width="14.109375" style="1" bestFit="1" customWidth="1"/>
    <col min="6667" max="6667" width="2.44140625" style="1" customWidth="1"/>
    <col min="6668" max="6668" width="12.109375" style="1" customWidth="1"/>
    <col min="6669" max="6669" width="12.44140625" style="1" customWidth="1"/>
    <col min="6670" max="6670" width="11.5546875" style="1" bestFit="1" customWidth="1"/>
    <col min="6671" max="6671" width="10" style="1" bestFit="1" customWidth="1"/>
    <col min="6672" max="6672" width="10.88671875" style="1" customWidth="1"/>
    <col min="6673" max="6673" width="11.44140625" style="1" customWidth="1"/>
    <col min="6674" max="6674" width="11.5546875" style="1" bestFit="1" customWidth="1"/>
    <col min="6675" max="6912" width="8.88671875" style="1"/>
    <col min="6913" max="6913" width="3.44140625" style="1" customWidth="1"/>
    <col min="6914" max="6914" width="9.5546875" style="1" customWidth="1"/>
    <col min="6915" max="6915" width="19.109375" style="1" bestFit="1" customWidth="1"/>
    <col min="6916" max="6916" width="12.44140625" style="1" bestFit="1" customWidth="1"/>
    <col min="6917" max="6917" width="13.33203125" style="1" customWidth="1"/>
    <col min="6918" max="6918" width="7.6640625" style="1" bestFit="1" customWidth="1"/>
    <col min="6919" max="6919" width="7.33203125" style="1" customWidth="1"/>
    <col min="6920" max="6920" width="9.88671875" style="1" customWidth="1"/>
    <col min="6921" max="6921" width="14.33203125" style="1" bestFit="1" customWidth="1"/>
    <col min="6922" max="6922" width="14.109375" style="1" bestFit="1" customWidth="1"/>
    <col min="6923" max="6923" width="2.44140625" style="1" customWidth="1"/>
    <col min="6924" max="6924" width="12.109375" style="1" customWidth="1"/>
    <col min="6925" max="6925" width="12.44140625" style="1" customWidth="1"/>
    <col min="6926" max="6926" width="11.5546875" style="1" bestFit="1" customWidth="1"/>
    <col min="6927" max="6927" width="10" style="1" bestFit="1" customWidth="1"/>
    <col min="6928" max="6928" width="10.88671875" style="1" customWidth="1"/>
    <col min="6929" max="6929" width="11.44140625" style="1" customWidth="1"/>
    <col min="6930" max="6930" width="11.5546875" style="1" bestFit="1" customWidth="1"/>
    <col min="6931" max="7168" width="8.88671875" style="1"/>
    <col min="7169" max="7169" width="3.44140625" style="1" customWidth="1"/>
    <col min="7170" max="7170" width="9.5546875" style="1" customWidth="1"/>
    <col min="7171" max="7171" width="19.109375" style="1" bestFit="1" customWidth="1"/>
    <col min="7172" max="7172" width="12.44140625" style="1" bestFit="1" customWidth="1"/>
    <col min="7173" max="7173" width="13.33203125" style="1" customWidth="1"/>
    <col min="7174" max="7174" width="7.6640625" style="1" bestFit="1" customWidth="1"/>
    <col min="7175" max="7175" width="7.33203125" style="1" customWidth="1"/>
    <col min="7176" max="7176" width="9.88671875" style="1" customWidth="1"/>
    <col min="7177" max="7177" width="14.33203125" style="1" bestFit="1" customWidth="1"/>
    <col min="7178" max="7178" width="14.109375" style="1" bestFit="1" customWidth="1"/>
    <col min="7179" max="7179" width="2.44140625" style="1" customWidth="1"/>
    <col min="7180" max="7180" width="12.109375" style="1" customWidth="1"/>
    <col min="7181" max="7181" width="12.44140625" style="1" customWidth="1"/>
    <col min="7182" max="7182" width="11.5546875" style="1" bestFit="1" customWidth="1"/>
    <col min="7183" max="7183" width="10" style="1" bestFit="1" customWidth="1"/>
    <col min="7184" max="7184" width="10.88671875" style="1" customWidth="1"/>
    <col min="7185" max="7185" width="11.44140625" style="1" customWidth="1"/>
    <col min="7186" max="7186" width="11.5546875" style="1" bestFit="1" customWidth="1"/>
    <col min="7187" max="7424" width="8.88671875" style="1"/>
    <col min="7425" max="7425" width="3.44140625" style="1" customWidth="1"/>
    <col min="7426" max="7426" width="9.5546875" style="1" customWidth="1"/>
    <col min="7427" max="7427" width="19.109375" style="1" bestFit="1" customWidth="1"/>
    <col min="7428" max="7428" width="12.44140625" style="1" bestFit="1" customWidth="1"/>
    <col min="7429" max="7429" width="13.33203125" style="1" customWidth="1"/>
    <col min="7430" max="7430" width="7.6640625" style="1" bestFit="1" customWidth="1"/>
    <col min="7431" max="7431" width="7.33203125" style="1" customWidth="1"/>
    <col min="7432" max="7432" width="9.88671875" style="1" customWidth="1"/>
    <col min="7433" max="7433" width="14.33203125" style="1" bestFit="1" customWidth="1"/>
    <col min="7434" max="7434" width="14.109375" style="1" bestFit="1" customWidth="1"/>
    <col min="7435" max="7435" width="2.44140625" style="1" customWidth="1"/>
    <col min="7436" max="7436" width="12.109375" style="1" customWidth="1"/>
    <col min="7437" max="7437" width="12.44140625" style="1" customWidth="1"/>
    <col min="7438" max="7438" width="11.5546875" style="1" bestFit="1" customWidth="1"/>
    <col min="7439" max="7439" width="10" style="1" bestFit="1" customWidth="1"/>
    <col min="7440" max="7440" width="10.88671875" style="1" customWidth="1"/>
    <col min="7441" max="7441" width="11.44140625" style="1" customWidth="1"/>
    <col min="7442" max="7442" width="11.5546875" style="1" bestFit="1" customWidth="1"/>
    <col min="7443" max="7680" width="8.88671875" style="1"/>
    <col min="7681" max="7681" width="3.44140625" style="1" customWidth="1"/>
    <col min="7682" max="7682" width="9.5546875" style="1" customWidth="1"/>
    <col min="7683" max="7683" width="19.109375" style="1" bestFit="1" customWidth="1"/>
    <col min="7684" max="7684" width="12.44140625" style="1" bestFit="1" customWidth="1"/>
    <col min="7685" max="7685" width="13.33203125" style="1" customWidth="1"/>
    <col min="7686" max="7686" width="7.6640625" style="1" bestFit="1" customWidth="1"/>
    <col min="7687" max="7687" width="7.33203125" style="1" customWidth="1"/>
    <col min="7688" max="7688" width="9.88671875" style="1" customWidth="1"/>
    <col min="7689" max="7689" width="14.33203125" style="1" bestFit="1" customWidth="1"/>
    <col min="7690" max="7690" width="14.109375" style="1" bestFit="1" customWidth="1"/>
    <col min="7691" max="7691" width="2.44140625" style="1" customWidth="1"/>
    <col min="7692" max="7692" width="12.109375" style="1" customWidth="1"/>
    <col min="7693" max="7693" width="12.44140625" style="1" customWidth="1"/>
    <col min="7694" max="7694" width="11.5546875" style="1" bestFit="1" customWidth="1"/>
    <col min="7695" max="7695" width="10" style="1" bestFit="1" customWidth="1"/>
    <col min="7696" max="7696" width="10.88671875" style="1" customWidth="1"/>
    <col min="7697" max="7697" width="11.44140625" style="1" customWidth="1"/>
    <col min="7698" max="7698" width="11.5546875" style="1" bestFit="1" customWidth="1"/>
    <col min="7699" max="7936" width="8.88671875" style="1"/>
    <col min="7937" max="7937" width="3.44140625" style="1" customWidth="1"/>
    <col min="7938" max="7938" width="9.5546875" style="1" customWidth="1"/>
    <col min="7939" max="7939" width="19.109375" style="1" bestFit="1" customWidth="1"/>
    <col min="7940" max="7940" width="12.44140625" style="1" bestFit="1" customWidth="1"/>
    <col min="7941" max="7941" width="13.33203125" style="1" customWidth="1"/>
    <col min="7942" max="7942" width="7.6640625" style="1" bestFit="1" customWidth="1"/>
    <col min="7943" max="7943" width="7.33203125" style="1" customWidth="1"/>
    <col min="7944" max="7944" width="9.88671875" style="1" customWidth="1"/>
    <col min="7945" max="7945" width="14.33203125" style="1" bestFit="1" customWidth="1"/>
    <col min="7946" max="7946" width="14.109375" style="1" bestFit="1" customWidth="1"/>
    <col min="7947" max="7947" width="2.44140625" style="1" customWidth="1"/>
    <col min="7948" max="7948" width="12.109375" style="1" customWidth="1"/>
    <col min="7949" max="7949" width="12.44140625" style="1" customWidth="1"/>
    <col min="7950" max="7950" width="11.5546875" style="1" bestFit="1" customWidth="1"/>
    <col min="7951" max="7951" width="10" style="1" bestFit="1" customWidth="1"/>
    <col min="7952" max="7952" width="10.88671875" style="1" customWidth="1"/>
    <col min="7953" max="7953" width="11.44140625" style="1" customWidth="1"/>
    <col min="7954" max="7954" width="11.5546875" style="1" bestFit="1" customWidth="1"/>
    <col min="7955" max="8192" width="8.88671875" style="1"/>
    <col min="8193" max="8193" width="3.44140625" style="1" customWidth="1"/>
    <col min="8194" max="8194" width="9.5546875" style="1" customWidth="1"/>
    <col min="8195" max="8195" width="19.109375" style="1" bestFit="1" customWidth="1"/>
    <col min="8196" max="8196" width="12.44140625" style="1" bestFit="1" customWidth="1"/>
    <col min="8197" max="8197" width="13.33203125" style="1" customWidth="1"/>
    <col min="8198" max="8198" width="7.6640625" style="1" bestFit="1" customWidth="1"/>
    <col min="8199" max="8199" width="7.33203125" style="1" customWidth="1"/>
    <col min="8200" max="8200" width="9.88671875" style="1" customWidth="1"/>
    <col min="8201" max="8201" width="14.33203125" style="1" bestFit="1" customWidth="1"/>
    <col min="8202" max="8202" width="14.109375" style="1" bestFit="1" customWidth="1"/>
    <col min="8203" max="8203" width="2.44140625" style="1" customWidth="1"/>
    <col min="8204" max="8204" width="12.109375" style="1" customWidth="1"/>
    <col min="8205" max="8205" width="12.44140625" style="1" customWidth="1"/>
    <col min="8206" max="8206" width="11.5546875" style="1" bestFit="1" customWidth="1"/>
    <col min="8207" max="8207" width="10" style="1" bestFit="1" customWidth="1"/>
    <col min="8208" max="8208" width="10.88671875" style="1" customWidth="1"/>
    <col min="8209" max="8209" width="11.44140625" style="1" customWidth="1"/>
    <col min="8210" max="8210" width="11.5546875" style="1" bestFit="1" customWidth="1"/>
    <col min="8211" max="8448" width="8.88671875" style="1"/>
    <col min="8449" max="8449" width="3.44140625" style="1" customWidth="1"/>
    <col min="8450" max="8450" width="9.5546875" style="1" customWidth="1"/>
    <col min="8451" max="8451" width="19.109375" style="1" bestFit="1" customWidth="1"/>
    <col min="8452" max="8452" width="12.44140625" style="1" bestFit="1" customWidth="1"/>
    <col min="8453" max="8453" width="13.33203125" style="1" customWidth="1"/>
    <col min="8454" max="8454" width="7.6640625" style="1" bestFit="1" customWidth="1"/>
    <col min="8455" max="8455" width="7.33203125" style="1" customWidth="1"/>
    <col min="8456" max="8456" width="9.88671875" style="1" customWidth="1"/>
    <col min="8457" max="8457" width="14.33203125" style="1" bestFit="1" customWidth="1"/>
    <col min="8458" max="8458" width="14.109375" style="1" bestFit="1" customWidth="1"/>
    <col min="8459" max="8459" width="2.44140625" style="1" customWidth="1"/>
    <col min="8460" max="8460" width="12.109375" style="1" customWidth="1"/>
    <col min="8461" max="8461" width="12.44140625" style="1" customWidth="1"/>
    <col min="8462" max="8462" width="11.5546875" style="1" bestFit="1" customWidth="1"/>
    <col min="8463" max="8463" width="10" style="1" bestFit="1" customWidth="1"/>
    <col min="8464" max="8464" width="10.88671875" style="1" customWidth="1"/>
    <col min="8465" max="8465" width="11.44140625" style="1" customWidth="1"/>
    <col min="8466" max="8466" width="11.5546875" style="1" bestFit="1" customWidth="1"/>
    <col min="8467" max="8704" width="8.88671875" style="1"/>
    <col min="8705" max="8705" width="3.44140625" style="1" customWidth="1"/>
    <col min="8706" max="8706" width="9.5546875" style="1" customWidth="1"/>
    <col min="8707" max="8707" width="19.109375" style="1" bestFit="1" customWidth="1"/>
    <col min="8708" max="8708" width="12.44140625" style="1" bestFit="1" customWidth="1"/>
    <col min="8709" max="8709" width="13.33203125" style="1" customWidth="1"/>
    <col min="8710" max="8710" width="7.6640625" style="1" bestFit="1" customWidth="1"/>
    <col min="8711" max="8711" width="7.33203125" style="1" customWidth="1"/>
    <col min="8712" max="8712" width="9.88671875" style="1" customWidth="1"/>
    <col min="8713" max="8713" width="14.33203125" style="1" bestFit="1" customWidth="1"/>
    <col min="8714" max="8714" width="14.109375" style="1" bestFit="1" customWidth="1"/>
    <col min="8715" max="8715" width="2.44140625" style="1" customWidth="1"/>
    <col min="8716" max="8716" width="12.109375" style="1" customWidth="1"/>
    <col min="8717" max="8717" width="12.44140625" style="1" customWidth="1"/>
    <col min="8718" max="8718" width="11.5546875" style="1" bestFit="1" customWidth="1"/>
    <col min="8719" max="8719" width="10" style="1" bestFit="1" customWidth="1"/>
    <col min="8720" max="8720" width="10.88671875" style="1" customWidth="1"/>
    <col min="8721" max="8721" width="11.44140625" style="1" customWidth="1"/>
    <col min="8722" max="8722" width="11.5546875" style="1" bestFit="1" customWidth="1"/>
    <col min="8723" max="8960" width="8.88671875" style="1"/>
    <col min="8961" max="8961" width="3.44140625" style="1" customWidth="1"/>
    <col min="8962" max="8962" width="9.5546875" style="1" customWidth="1"/>
    <col min="8963" max="8963" width="19.109375" style="1" bestFit="1" customWidth="1"/>
    <col min="8964" max="8964" width="12.44140625" style="1" bestFit="1" customWidth="1"/>
    <col min="8965" max="8965" width="13.33203125" style="1" customWidth="1"/>
    <col min="8966" max="8966" width="7.6640625" style="1" bestFit="1" customWidth="1"/>
    <col min="8967" max="8967" width="7.33203125" style="1" customWidth="1"/>
    <col min="8968" max="8968" width="9.88671875" style="1" customWidth="1"/>
    <col min="8969" max="8969" width="14.33203125" style="1" bestFit="1" customWidth="1"/>
    <col min="8970" max="8970" width="14.109375" style="1" bestFit="1" customWidth="1"/>
    <col min="8971" max="8971" width="2.44140625" style="1" customWidth="1"/>
    <col min="8972" max="8972" width="12.109375" style="1" customWidth="1"/>
    <col min="8973" max="8973" width="12.44140625" style="1" customWidth="1"/>
    <col min="8974" max="8974" width="11.5546875" style="1" bestFit="1" customWidth="1"/>
    <col min="8975" max="8975" width="10" style="1" bestFit="1" customWidth="1"/>
    <col min="8976" max="8976" width="10.88671875" style="1" customWidth="1"/>
    <col min="8977" max="8977" width="11.44140625" style="1" customWidth="1"/>
    <col min="8978" max="8978" width="11.5546875" style="1" bestFit="1" customWidth="1"/>
    <col min="8979" max="9216" width="8.88671875" style="1"/>
    <col min="9217" max="9217" width="3.44140625" style="1" customWidth="1"/>
    <col min="9218" max="9218" width="9.5546875" style="1" customWidth="1"/>
    <col min="9219" max="9219" width="19.109375" style="1" bestFit="1" customWidth="1"/>
    <col min="9220" max="9220" width="12.44140625" style="1" bestFit="1" customWidth="1"/>
    <col min="9221" max="9221" width="13.33203125" style="1" customWidth="1"/>
    <col min="9222" max="9222" width="7.6640625" style="1" bestFit="1" customWidth="1"/>
    <col min="9223" max="9223" width="7.33203125" style="1" customWidth="1"/>
    <col min="9224" max="9224" width="9.88671875" style="1" customWidth="1"/>
    <col min="9225" max="9225" width="14.33203125" style="1" bestFit="1" customWidth="1"/>
    <col min="9226" max="9226" width="14.109375" style="1" bestFit="1" customWidth="1"/>
    <col min="9227" max="9227" width="2.44140625" style="1" customWidth="1"/>
    <col min="9228" max="9228" width="12.109375" style="1" customWidth="1"/>
    <col min="9229" max="9229" width="12.44140625" style="1" customWidth="1"/>
    <col min="9230" max="9230" width="11.5546875" style="1" bestFit="1" customWidth="1"/>
    <col min="9231" max="9231" width="10" style="1" bestFit="1" customWidth="1"/>
    <col min="9232" max="9232" width="10.88671875" style="1" customWidth="1"/>
    <col min="9233" max="9233" width="11.44140625" style="1" customWidth="1"/>
    <col min="9234" max="9234" width="11.5546875" style="1" bestFit="1" customWidth="1"/>
    <col min="9235" max="9472" width="8.88671875" style="1"/>
    <col min="9473" max="9473" width="3.44140625" style="1" customWidth="1"/>
    <col min="9474" max="9474" width="9.5546875" style="1" customWidth="1"/>
    <col min="9475" max="9475" width="19.109375" style="1" bestFit="1" customWidth="1"/>
    <col min="9476" max="9476" width="12.44140625" style="1" bestFit="1" customWidth="1"/>
    <col min="9477" max="9477" width="13.33203125" style="1" customWidth="1"/>
    <col min="9478" max="9478" width="7.6640625" style="1" bestFit="1" customWidth="1"/>
    <col min="9479" max="9479" width="7.33203125" style="1" customWidth="1"/>
    <col min="9480" max="9480" width="9.88671875" style="1" customWidth="1"/>
    <col min="9481" max="9481" width="14.33203125" style="1" bestFit="1" customWidth="1"/>
    <col min="9482" max="9482" width="14.109375" style="1" bestFit="1" customWidth="1"/>
    <col min="9483" max="9483" width="2.44140625" style="1" customWidth="1"/>
    <col min="9484" max="9484" width="12.109375" style="1" customWidth="1"/>
    <col min="9485" max="9485" width="12.44140625" style="1" customWidth="1"/>
    <col min="9486" max="9486" width="11.5546875" style="1" bestFit="1" customWidth="1"/>
    <col min="9487" max="9487" width="10" style="1" bestFit="1" customWidth="1"/>
    <col min="9488" max="9488" width="10.88671875" style="1" customWidth="1"/>
    <col min="9489" max="9489" width="11.44140625" style="1" customWidth="1"/>
    <col min="9490" max="9490" width="11.5546875" style="1" bestFit="1" customWidth="1"/>
    <col min="9491" max="9728" width="8.88671875" style="1"/>
    <col min="9729" max="9729" width="3.44140625" style="1" customWidth="1"/>
    <col min="9730" max="9730" width="9.5546875" style="1" customWidth="1"/>
    <col min="9731" max="9731" width="19.109375" style="1" bestFit="1" customWidth="1"/>
    <col min="9732" max="9732" width="12.44140625" style="1" bestFit="1" customWidth="1"/>
    <col min="9733" max="9733" width="13.33203125" style="1" customWidth="1"/>
    <col min="9734" max="9734" width="7.6640625" style="1" bestFit="1" customWidth="1"/>
    <col min="9735" max="9735" width="7.33203125" style="1" customWidth="1"/>
    <col min="9736" max="9736" width="9.88671875" style="1" customWidth="1"/>
    <col min="9737" max="9737" width="14.33203125" style="1" bestFit="1" customWidth="1"/>
    <col min="9738" max="9738" width="14.109375" style="1" bestFit="1" customWidth="1"/>
    <col min="9739" max="9739" width="2.44140625" style="1" customWidth="1"/>
    <col min="9740" max="9740" width="12.109375" style="1" customWidth="1"/>
    <col min="9741" max="9741" width="12.44140625" style="1" customWidth="1"/>
    <col min="9742" max="9742" width="11.5546875" style="1" bestFit="1" customWidth="1"/>
    <col min="9743" max="9743" width="10" style="1" bestFit="1" customWidth="1"/>
    <col min="9744" max="9744" width="10.88671875" style="1" customWidth="1"/>
    <col min="9745" max="9745" width="11.44140625" style="1" customWidth="1"/>
    <col min="9746" max="9746" width="11.5546875" style="1" bestFit="1" customWidth="1"/>
    <col min="9747" max="9984" width="8.88671875" style="1"/>
    <col min="9985" max="9985" width="3.44140625" style="1" customWidth="1"/>
    <col min="9986" max="9986" width="9.5546875" style="1" customWidth="1"/>
    <col min="9987" max="9987" width="19.109375" style="1" bestFit="1" customWidth="1"/>
    <col min="9988" max="9988" width="12.44140625" style="1" bestFit="1" customWidth="1"/>
    <col min="9989" max="9989" width="13.33203125" style="1" customWidth="1"/>
    <col min="9990" max="9990" width="7.6640625" style="1" bestFit="1" customWidth="1"/>
    <col min="9991" max="9991" width="7.33203125" style="1" customWidth="1"/>
    <col min="9992" max="9992" width="9.88671875" style="1" customWidth="1"/>
    <col min="9993" max="9993" width="14.33203125" style="1" bestFit="1" customWidth="1"/>
    <col min="9994" max="9994" width="14.109375" style="1" bestFit="1" customWidth="1"/>
    <col min="9995" max="9995" width="2.44140625" style="1" customWidth="1"/>
    <col min="9996" max="9996" width="12.109375" style="1" customWidth="1"/>
    <col min="9997" max="9997" width="12.44140625" style="1" customWidth="1"/>
    <col min="9998" max="9998" width="11.5546875" style="1" bestFit="1" customWidth="1"/>
    <col min="9999" max="9999" width="10" style="1" bestFit="1" customWidth="1"/>
    <col min="10000" max="10000" width="10.88671875" style="1" customWidth="1"/>
    <col min="10001" max="10001" width="11.44140625" style="1" customWidth="1"/>
    <col min="10002" max="10002" width="11.5546875" style="1" bestFit="1" customWidth="1"/>
    <col min="10003" max="10240" width="8.88671875" style="1"/>
    <col min="10241" max="10241" width="3.44140625" style="1" customWidth="1"/>
    <col min="10242" max="10242" width="9.5546875" style="1" customWidth="1"/>
    <col min="10243" max="10243" width="19.109375" style="1" bestFit="1" customWidth="1"/>
    <col min="10244" max="10244" width="12.44140625" style="1" bestFit="1" customWidth="1"/>
    <col min="10245" max="10245" width="13.33203125" style="1" customWidth="1"/>
    <col min="10246" max="10246" width="7.6640625" style="1" bestFit="1" customWidth="1"/>
    <col min="10247" max="10247" width="7.33203125" style="1" customWidth="1"/>
    <col min="10248" max="10248" width="9.88671875" style="1" customWidth="1"/>
    <col min="10249" max="10249" width="14.33203125" style="1" bestFit="1" customWidth="1"/>
    <col min="10250" max="10250" width="14.109375" style="1" bestFit="1" customWidth="1"/>
    <col min="10251" max="10251" width="2.44140625" style="1" customWidth="1"/>
    <col min="10252" max="10252" width="12.109375" style="1" customWidth="1"/>
    <col min="10253" max="10253" width="12.44140625" style="1" customWidth="1"/>
    <col min="10254" max="10254" width="11.5546875" style="1" bestFit="1" customWidth="1"/>
    <col min="10255" max="10255" width="10" style="1" bestFit="1" customWidth="1"/>
    <col min="10256" max="10256" width="10.88671875" style="1" customWidth="1"/>
    <col min="10257" max="10257" width="11.44140625" style="1" customWidth="1"/>
    <col min="10258" max="10258" width="11.5546875" style="1" bestFit="1" customWidth="1"/>
    <col min="10259" max="10496" width="8.88671875" style="1"/>
    <col min="10497" max="10497" width="3.44140625" style="1" customWidth="1"/>
    <col min="10498" max="10498" width="9.5546875" style="1" customWidth="1"/>
    <col min="10499" max="10499" width="19.109375" style="1" bestFit="1" customWidth="1"/>
    <col min="10500" max="10500" width="12.44140625" style="1" bestFit="1" customWidth="1"/>
    <col min="10501" max="10501" width="13.33203125" style="1" customWidth="1"/>
    <col min="10502" max="10502" width="7.6640625" style="1" bestFit="1" customWidth="1"/>
    <col min="10503" max="10503" width="7.33203125" style="1" customWidth="1"/>
    <col min="10504" max="10504" width="9.88671875" style="1" customWidth="1"/>
    <col min="10505" max="10505" width="14.33203125" style="1" bestFit="1" customWidth="1"/>
    <col min="10506" max="10506" width="14.109375" style="1" bestFit="1" customWidth="1"/>
    <col min="10507" max="10507" width="2.44140625" style="1" customWidth="1"/>
    <col min="10508" max="10508" width="12.109375" style="1" customWidth="1"/>
    <col min="10509" max="10509" width="12.44140625" style="1" customWidth="1"/>
    <col min="10510" max="10510" width="11.5546875" style="1" bestFit="1" customWidth="1"/>
    <col min="10511" max="10511" width="10" style="1" bestFit="1" customWidth="1"/>
    <col min="10512" max="10512" width="10.88671875" style="1" customWidth="1"/>
    <col min="10513" max="10513" width="11.44140625" style="1" customWidth="1"/>
    <col min="10514" max="10514" width="11.5546875" style="1" bestFit="1" customWidth="1"/>
    <col min="10515" max="10752" width="8.88671875" style="1"/>
    <col min="10753" max="10753" width="3.44140625" style="1" customWidth="1"/>
    <col min="10754" max="10754" width="9.5546875" style="1" customWidth="1"/>
    <col min="10755" max="10755" width="19.109375" style="1" bestFit="1" customWidth="1"/>
    <col min="10756" max="10756" width="12.44140625" style="1" bestFit="1" customWidth="1"/>
    <col min="10757" max="10757" width="13.33203125" style="1" customWidth="1"/>
    <col min="10758" max="10758" width="7.6640625" style="1" bestFit="1" customWidth="1"/>
    <col min="10759" max="10759" width="7.33203125" style="1" customWidth="1"/>
    <col min="10760" max="10760" width="9.88671875" style="1" customWidth="1"/>
    <col min="10761" max="10761" width="14.33203125" style="1" bestFit="1" customWidth="1"/>
    <col min="10762" max="10762" width="14.109375" style="1" bestFit="1" customWidth="1"/>
    <col min="10763" max="10763" width="2.44140625" style="1" customWidth="1"/>
    <col min="10764" max="10764" width="12.109375" style="1" customWidth="1"/>
    <col min="10765" max="10765" width="12.44140625" style="1" customWidth="1"/>
    <col min="10766" max="10766" width="11.5546875" style="1" bestFit="1" customWidth="1"/>
    <col min="10767" max="10767" width="10" style="1" bestFit="1" customWidth="1"/>
    <col min="10768" max="10768" width="10.88671875" style="1" customWidth="1"/>
    <col min="10769" max="10769" width="11.44140625" style="1" customWidth="1"/>
    <col min="10770" max="10770" width="11.5546875" style="1" bestFit="1" customWidth="1"/>
    <col min="10771" max="11008" width="8.88671875" style="1"/>
    <col min="11009" max="11009" width="3.44140625" style="1" customWidth="1"/>
    <col min="11010" max="11010" width="9.5546875" style="1" customWidth="1"/>
    <col min="11011" max="11011" width="19.109375" style="1" bestFit="1" customWidth="1"/>
    <col min="11012" max="11012" width="12.44140625" style="1" bestFit="1" customWidth="1"/>
    <col min="11013" max="11013" width="13.33203125" style="1" customWidth="1"/>
    <col min="11014" max="11014" width="7.6640625" style="1" bestFit="1" customWidth="1"/>
    <col min="11015" max="11015" width="7.33203125" style="1" customWidth="1"/>
    <col min="11016" max="11016" width="9.88671875" style="1" customWidth="1"/>
    <col min="11017" max="11017" width="14.33203125" style="1" bestFit="1" customWidth="1"/>
    <col min="11018" max="11018" width="14.109375" style="1" bestFit="1" customWidth="1"/>
    <col min="11019" max="11019" width="2.44140625" style="1" customWidth="1"/>
    <col min="11020" max="11020" width="12.109375" style="1" customWidth="1"/>
    <col min="11021" max="11021" width="12.44140625" style="1" customWidth="1"/>
    <col min="11022" max="11022" width="11.5546875" style="1" bestFit="1" customWidth="1"/>
    <col min="11023" max="11023" width="10" style="1" bestFit="1" customWidth="1"/>
    <col min="11024" max="11024" width="10.88671875" style="1" customWidth="1"/>
    <col min="11025" max="11025" width="11.44140625" style="1" customWidth="1"/>
    <col min="11026" max="11026" width="11.5546875" style="1" bestFit="1" customWidth="1"/>
    <col min="11027" max="11264" width="8.88671875" style="1"/>
    <col min="11265" max="11265" width="3.44140625" style="1" customWidth="1"/>
    <col min="11266" max="11266" width="9.5546875" style="1" customWidth="1"/>
    <col min="11267" max="11267" width="19.109375" style="1" bestFit="1" customWidth="1"/>
    <col min="11268" max="11268" width="12.44140625" style="1" bestFit="1" customWidth="1"/>
    <col min="11269" max="11269" width="13.33203125" style="1" customWidth="1"/>
    <col min="11270" max="11270" width="7.6640625" style="1" bestFit="1" customWidth="1"/>
    <col min="11271" max="11271" width="7.33203125" style="1" customWidth="1"/>
    <col min="11272" max="11272" width="9.88671875" style="1" customWidth="1"/>
    <col min="11273" max="11273" width="14.33203125" style="1" bestFit="1" customWidth="1"/>
    <col min="11274" max="11274" width="14.109375" style="1" bestFit="1" customWidth="1"/>
    <col min="11275" max="11275" width="2.44140625" style="1" customWidth="1"/>
    <col min="11276" max="11276" width="12.109375" style="1" customWidth="1"/>
    <col min="11277" max="11277" width="12.44140625" style="1" customWidth="1"/>
    <col min="11278" max="11278" width="11.5546875" style="1" bestFit="1" customWidth="1"/>
    <col min="11279" max="11279" width="10" style="1" bestFit="1" customWidth="1"/>
    <col min="11280" max="11280" width="10.88671875" style="1" customWidth="1"/>
    <col min="11281" max="11281" width="11.44140625" style="1" customWidth="1"/>
    <col min="11282" max="11282" width="11.5546875" style="1" bestFit="1" customWidth="1"/>
    <col min="11283" max="11520" width="8.88671875" style="1"/>
    <col min="11521" max="11521" width="3.44140625" style="1" customWidth="1"/>
    <col min="11522" max="11522" width="9.5546875" style="1" customWidth="1"/>
    <col min="11523" max="11523" width="19.109375" style="1" bestFit="1" customWidth="1"/>
    <col min="11524" max="11524" width="12.44140625" style="1" bestFit="1" customWidth="1"/>
    <col min="11525" max="11525" width="13.33203125" style="1" customWidth="1"/>
    <col min="11526" max="11526" width="7.6640625" style="1" bestFit="1" customWidth="1"/>
    <col min="11527" max="11527" width="7.33203125" style="1" customWidth="1"/>
    <col min="11528" max="11528" width="9.88671875" style="1" customWidth="1"/>
    <col min="11529" max="11529" width="14.33203125" style="1" bestFit="1" customWidth="1"/>
    <col min="11530" max="11530" width="14.109375" style="1" bestFit="1" customWidth="1"/>
    <col min="11531" max="11531" width="2.44140625" style="1" customWidth="1"/>
    <col min="11532" max="11532" width="12.109375" style="1" customWidth="1"/>
    <col min="11533" max="11533" width="12.44140625" style="1" customWidth="1"/>
    <col min="11534" max="11534" width="11.5546875" style="1" bestFit="1" customWidth="1"/>
    <col min="11535" max="11535" width="10" style="1" bestFit="1" customWidth="1"/>
    <col min="11536" max="11536" width="10.88671875" style="1" customWidth="1"/>
    <col min="11537" max="11537" width="11.44140625" style="1" customWidth="1"/>
    <col min="11538" max="11538" width="11.5546875" style="1" bestFit="1" customWidth="1"/>
    <col min="11539" max="11776" width="8.88671875" style="1"/>
    <col min="11777" max="11777" width="3.44140625" style="1" customWidth="1"/>
    <col min="11778" max="11778" width="9.5546875" style="1" customWidth="1"/>
    <col min="11779" max="11779" width="19.109375" style="1" bestFit="1" customWidth="1"/>
    <col min="11780" max="11780" width="12.44140625" style="1" bestFit="1" customWidth="1"/>
    <col min="11781" max="11781" width="13.33203125" style="1" customWidth="1"/>
    <col min="11782" max="11782" width="7.6640625" style="1" bestFit="1" customWidth="1"/>
    <col min="11783" max="11783" width="7.33203125" style="1" customWidth="1"/>
    <col min="11784" max="11784" width="9.88671875" style="1" customWidth="1"/>
    <col min="11785" max="11785" width="14.33203125" style="1" bestFit="1" customWidth="1"/>
    <col min="11786" max="11786" width="14.109375" style="1" bestFit="1" customWidth="1"/>
    <col min="11787" max="11787" width="2.44140625" style="1" customWidth="1"/>
    <col min="11788" max="11788" width="12.109375" style="1" customWidth="1"/>
    <col min="11789" max="11789" width="12.44140625" style="1" customWidth="1"/>
    <col min="11790" max="11790" width="11.5546875" style="1" bestFit="1" customWidth="1"/>
    <col min="11791" max="11791" width="10" style="1" bestFit="1" customWidth="1"/>
    <col min="11792" max="11792" width="10.88671875" style="1" customWidth="1"/>
    <col min="11793" max="11793" width="11.44140625" style="1" customWidth="1"/>
    <col min="11794" max="11794" width="11.5546875" style="1" bestFit="1" customWidth="1"/>
    <col min="11795" max="12032" width="8.88671875" style="1"/>
    <col min="12033" max="12033" width="3.44140625" style="1" customWidth="1"/>
    <col min="12034" max="12034" width="9.5546875" style="1" customWidth="1"/>
    <col min="12035" max="12035" width="19.109375" style="1" bestFit="1" customWidth="1"/>
    <col min="12036" max="12036" width="12.44140625" style="1" bestFit="1" customWidth="1"/>
    <col min="12037" max="12037" width="13.33203125" style="1" customWidth="1"/>
    <col min="12038" max="12038" width="7.6640625" style="1" bestFit="1" customWidth="1"/>
    <col min="12039" max="12039" width="7.33203125" style="1" customWidth="1"/>
    <col min="12040" max="12040" width="9.88671875" style="1" customWidth="1"/>
    <col min="12041" max="12041" width="14.33203125" style="1" bestFit="1" customWidth="1"/>
    <col min="12042" max="12042" width="14.109375" style="1" bestFit="1" customWidth="1"/>
    <col min="12043" max="12043" width="2.44140625" style="1" customWidth="1"/>
    <col min="12044" max="12044" width="12.109375" style="1" customWidth="1"/>
    <col min="12045" max="12045" width="12.44140625" style="1" customWidth="1"/>
    <col min="12046" max="12046" width="11.5546875" style="1" bestFit="1" customWidth="1"/>
    <col min="12047" max="12047" width="10" style="1" bestFit="1" customWidth="1"/>
    <col min="12048" max="12048" width="10.88671875" style="1" customWidth="1"/>
    <col min="12049" max="12049" width="11.44140625" style="1" customWidth="1"/>
    <col min="12050" max="12050" width="11.5546875" style="1" bestFit="1" customWidth="1"/>
    <col min="12051" max="12288" width="8.88671875" style="1"/>
    <col min="12289" max="12289" width="3.44140625" style="1" customWidth="1"/>
    <col min="12290" max="12290" width="9.5546875" style="1" customWidth="1"/>
    <col min="12291" max="12291" width="19.109375" style="1" bestFit="1" customWidth="1"/>
    <col min="12292" max="12292" width="12.44140625" style="1" bestFit="1" customWidth="1"/>
    <col min="12293" max="12293" width="13.33203125" style="1" customWidth="1"/>
    <col min="12294" max="12294" width="7.6640625" style="1" bestFit="1" customWidth="1"/>
    <col min="12295" max="12295" width="7.33203125" style="1" customWidth="1"/>
    <col min="12296" max="12296" width="9.88671875" style="1" customWidth="1"/>
    <col min="12297" max="12297" width="14.33203125" style="1" bestFit="1" customWidth="1"/>
    <col min="12298" max="12298" width="14.109375" style="1" bestFit="1" customWidth="1"/>
    <col min="12299" max="12299" width="2.44140625" style="1" customWidth="1"/>
    <col min="12300" max="12300" width="12.109375" style="1" customWidth="1"/>
    <col min="12301" max="12301" width="12.44140625" style="1" customWidth="1"/>
    <col min="12302" max="12302" width="11.5546875" style="1" bestFit="1" customWidth="1"/>
    <col min="12303" max="12303" width="10" style="1" bestFit="1" customWidth="1"/>
    <col min="12304" max="12304" width="10.88671875" style="1" customWidth="1"/>
    <col min="12305" max="12305" width="11.44140625" style="1" customWidth="1"/>
    <col min="12306" max="12306" width="11.5546875" style="1" bestFit="1" customWidth="1"/>
    <col min="12307" max="12544" width="8.88671875" style="1"/>
    <col min="12545" max="12545" width="3.44140625" style="1" customWidth="1"/>
    <col min="12546" max="12546" width="9.5546875" style="1" customWidth="1"/>
    <col min="12547" max="12547" width="19.109375" style="1" bestFit="1" customWidth="1"/>
    <col min="12548" max="12548" width="12.44140625" style="1" bestFit="1" customWidth="1"/>
    <col min="12549" max="12549" width="13.33203125" style="1" customWidth="1"/>
    <col min="12550" max="12550" width="7.6640625" style="1" bestFit="1" customWidth="1"/>
    <col min="12551" max="12551" width="7.33203125" style="1" customWidth="1"/>
    <col min="12552" max="12552" width="9.88671875" style="1" customWidth="1"/>
    <col min="12553" max="12553" width="14.33203125" style="1" bestFit="1" customWidth="1"/>
    <col min="12554" max="12554" width="14.109375" style="1" bestFit="1" customWidth="1"/>
    <col min="12555" max="12555" width="2.44140625" style="1" customWidth="1"/>
    <col min="12556" max="12556" width="12.109375" style="1" customWidth="1"/>
    <col min="12557" max="12557" width="12.44140625" style="1" customWidth="1"/>
    <col min="12558" max="12558" width="11.5546875" style="1" bestFit="1" customWidth="1"/>
    <col min="12559" max="12559" width="10" style="1" bestFit="1" customWidth="1"/>
    <col min="12560" max="12560" width="10.88671875" style="1" customWidth="1"/>
    <col min="12561" max="12561" width="11.44140625" style="1" customWidth="1"/>
    <col min="12562" max="12562" width="11.5546875" style="1" bestFit="1" customWidth="1"/>
    <col min="12563" max="12800" width="8.88671875" style="1"/>
    <col min="12801" max="12801" width="3.44140625" style="1" customWidth="1"/>
    <col min="12802" max="12802" width="9.5546875" style="1" customWidth="1"/>
    <col min="12803" max="12803" width="19.109375" style="1" bestFit="1" customWidth="1"/>
    <col min="12804" max="12804" width="12.44140625" style="1" bestFit="1" customWidth="1"/>
    <col min="12805" max="12805" width="13.33203125" style="1" customWidth="1"/>
    <col min="12806" max="12806" width="7.6640625" style="1" bestFit="1" customWidth="1"/>
    <col min="12807" max="12807" width="7.33203125" style="1" customWidth="1"/>
    <col min="12808" max="12808" width="9.88671875" style="1" customWidth="1"/>
    <col min="12809" max="12809" width="14.33203125" style="1" bestFit="1" customWidth="1"/>
    <col min="12810" max="12810" width="14.109375" style="1" bestFit="1" customWidth="1"/>
    <col min="12811" max="12811" width="2.44140625" style="1" customWidth="1"/>
    <col min="12812" max="12812" width="12.109375" style="1" customWidth="1"/>
    <col min="12813" max="12813" width="12.44140625" style="1" customWidth="1"/>
    <col min="12814" max="12814" width="11.5546875" style="1" bestFit="1" customWidth="1"/>
    <col min="12815" max="12815" width="10" style="1" bestFit="1" customWidth="1"/>
    <col min="12816" max="12816" width="10.88671875" style="1" customWidth="1"/>
    <col min="12817" max="12817" width="11.44140625" style="1" customWidth="1"/>
    <col min="12818" max="12818" width="11.5546875" style="1" bestFit="1" customWidth="1"/>
    <col min="12819" max="13056" width="8.88671875" style="1"/>
    <col min="13057" max="13057" width="3.44140625" style="1" customWidth="1"/>
    <col min="13058" max="13058" width="9.5546875" style="1" customWidth="1"/>
    <col min="13059" max="13059" width="19.109375" style="1" bestFit="1" customWidth="1"/>
    <col min="13060" max="13060" width="12.44140625" style="1" bestFit="1" customWidth="1"/>
    <col min="13061" max="13061" width="13.33203125" style="1" customWidth="1"/>
    <col min="13062" max="13062" width="7.6640625" style="1" bestFit="1" customWidth="1"/>
    <col min="13063" max="13063" width="7.33203125" style="1" customWidth="1"/>
    <col min="13064" max="13064" width="9.88671875" style="1" customWidth="1"/>
    <col min="13065" max="13065" width="14.33203125" style="1" bestFit="1" customWidth="1"/>
    <col min="13066" max="13066" width="14.109375" style="1" bestFit="1" customWidth="1"/>
    <col min="13067" max="13067" width="2.44140625" style="1" customWidth="1"/>
    <col min="13068" max="13068" width="12.109375" style="1" customWidth="1"/>
    <col min="13069" max="13069" width="12.44140625" style="1" customWidth="1"/>
    <col min="13070" max="13070" width="11.5546875" style="1" bestFit="1" customWidth="1"/>
    <col min="13071" max="13071" width="10" style="1" bestFit="1" customWidth="1"/>
    <col min="13072" max="13072" width="10.88671875" style="1" customWidth="1"/>
    <col min="13073" max="13073" width="11.44140625" style="1" customWidth="1"/>
    <col min="13074" max="13074" width="11.5546875" style="1" bestFit="1" customWidth="1"/>
    <col min="13075" max="13312" width="8.88671875" style="1"/>
    <col min="13313" max="13313" width="3.44140625" style="1" customWidth="1"/>
    <col min="13314" max="13314" width="9.5546875" style="1" customWidth="1"/>
    <col min="13315" max="13315" width="19.109375" style="1" bestFit="1" customWidth="1"/>
    <col min="13316" max="13316" width="12.44140625" style="1" bestFit="1" customWidth="1"/>
    <col min="13317" max="13317" width="13.33203125" style="1" customWidth="1"/>
    <col min="13318" max="13318" width="7.6640625" style="1" bestFit="1" customWidth="1"/>
    <col min="13319" max="13319" width="7.33203125" style="1" customWidth="1"/>
    <col min="13320" max="13320" width="9.88671875" style="1" customWidth="1"/>
    <col min="13321" max="13321" width="14.33203125" style="1" bestFit="1" customWidth="1"/>
    <col min="13322" max="13322" width="14.109375" style="1" bestFit="1" customWidth="1"/>
    <col min="13323" max="13323" width="2.44140625" style="1" customWidth="1"/>
    <col min="13324" max="13324" width="12.109375" style="1" customWidth="1"/>
    <col min="13325" max="13325" width="12.44140625" style="1" customWidth="1"/>
    <col min="13326" max="13326" width="11.5546875" style="1" bestFit="1" customWidth="1"/>
    <col min="13327" max="13327" width="10" style="1" bestFit="1" customWidth="1"/>
    <col min="13328" max="13328" width="10.88671875" style="1" customWidth="1"/>
    <col min="13329" max="13329" width="11.44140625" style="1" customWidth="1"/>
    <col min="13330" max="13330" width="11.5546875" style="1" bestFit="1" customWidth="1"/>
    <col min="13331" max="13568" width="8.88671875" style="1"/>
    <col min="13569" max="13569" width="3.44140625" style="1" customWidth="1"/>
    <col min="13570" max="13570" width="9.5546875" style="1" customWidth="1"/>
    <col min="13571" max="13571" width="19.109375" style="1" bestFit="1" customWidth="1"/>
    <col min="13572" max="13572" width="12.44140625" style="1" bestFit="1" customWidth="1"/>
    <col min="13573" max="13573" width="13.33203125" style="1" customWidth="1"/>
    <col min="13574" max="13574" width="7.6640625" style="1" bestFit="1" customWidth="1"/>
    <col min="13575" max="13575" width="7.33203125" style="1" customWidth="1"/>
    <col min="13576" max="13576" width="9.88671875" style="1" customWidth="1"/>
    <col min="13577" max="13577" width="14.33203125" style="1" bestFit="1" customWidth="1"/>
    <col min="13578" max="13578" width="14.109375" style="1" bestFit="1" customWidth="1"/>
    <col min="13579" max="13579" width="2.44140625" style="1" customWidth="1"/>
    <col min="13580" max="13580" width="12.109375" style="1" customWidth="1"/>
    <col min="13581" max="13581" width="12.44140625" style="1" customWidth="1"/>
    <col min="13582" max="13582" width="11.5546875" style="1" bestFit="1" customWidth="1"/>
    <col min="13583" max="13583" width="10" style="1" bestFit="1" customWidth="1"/>
    <col min="13584" max="13584" width="10.88671875" style="1" customWidth="1"/>
    <col min="13585" max="13585" width="11.44140625" style="1" customWidth="1"/>
    <col min="13586" max="13586" width="11.5546875" style="1" bestFit="1" customWidth="1"/>
    <col min="13587" max="13824" width="8.88671875" style="1"/>
    <col min="13825" max="13825" width="3.44140625" style="1" customWidth="1"/>
    <col min="13826" max="13826" width="9.5546875" style="1" customWidth="1"/>
    <col min="13827" max="13827" width="19.109375" style="1" bestFit="1" customWidth="1"/>
    <col min="13828" max="13828" width="12.44140625" style="1" bestFit="1" customWidth="1"/>
    <col min="13829" max="13829" width="13.33203125" style="1" customWidth="1"/>
    <col min="13830" max="13830" width="7.6640625" style="1" bestFit="1" customWidth="1"/>
    <col min="13831" max="13831" width="7.33203125" style="1" customWidth="1"/>
    <col min="13832" max="13832" width="9.88671875" style="1" customWidth="1"/>
    <col min="13833" max="13833" width="14.33203125" style="1" bestFit="1" customWidth="1"/>
    <col min="13834" max="13834" width="14.109375" style="1" bestFit="1" customWidth="1"/>
    <col min="13835" max="13835" width="2.44140625" style="1" customWidth="1"/>
    <col min="13836" max="13836" width="12.109375" style="1" customWidth="1"/>
    <col min="13837" max="13837" width="12.44140625" style="1" customWidth="1"/>
    <col min="13838" max="13838" width="11.5546875" style="1" bestFit="1" customWidth="1"/>
    <col min="13839" max="13839" width="10" style="1" bestFit="1" customWidth="1"/>
    <col min="13840" max="13840" width="10.88671875" style="1" customWidth="1"/>
    <col min="13841" max="13841" width="11.44140625" style="1" customWidth="1"/>
    <col min="13842" max="13842" width="11.5546875" style="1" bestFit="1" customWidth="1"/>
    <col min="13843" max="14080" width="8.88671875" style="1"/>
    <col min="14081" max="14081" width="3.44140625" style="1" customWidth="1"/>
    <col min="14082" max="14082" width="9.5546875" style="1" customWidth="1"/>
    <col min="14083" max="14083" width="19.109375" style="1" bestFit="1" customWidth="1"/>
    <col min="14084" max="14084" width="12.44140625" style="1" bestFit="1" customWidth="1"/>
    <col min="14085" max="14085" width="13.33203125" style="1" customWidth="1"/>
    <col min="14086" max="14086" width="7.6640625" style="1" bestFit="1" customWidth="1"/>
    <col min="14087" max="14087" width="7.33203125" style="1" customWidth="1"/>
    <col min="14088" max="14088" width="9.88671875" style="1" customWidth="1"/>
    <col min="14089" max="14089" width="14.33203125" style="1" bestFit="1" customWidth="1"/>
    <col min="14090" max="14090" width="14.109375" style="1" bestFit="1" customWidth="1"/>
    <col min="14091" max="14091" width="2.44140625" style="1" customWidth="1"/>
    <col min="14092" max="14092" width="12.109375" style="1" customWidth="1"/>
    <col min="14093" max="14093" width="12.44140625" style="1" customWidth="1"/>
    <col min="14094" max="14094" width="11.5546875" style="1" bestFit="1" customWidth="1"/>
    <col min="14095" max="14095" width="10" style="1" bestFit="1" customWidth="1"/>
    <col min="14096" max="14096" width="10.88671875" style="1" customWidth="1"/>
    <col min="14097" max="14097" width="11.44140625" style="1" customWidth="1"/>
    <col min="14098" max="14098" width="11.5546875" style="1" bestFit="1" customWidth="1"/>
    <col min="14099" max="14336" width="8.88671875" style="1"/>
    <col min="14337" max="14337" width="3.44140625" style="1" customWidth="1"/>
    <col min="14338" max="14338" width="9.5546875" style="1" customWidth="1"/>
    <col min="14339" max="14339" width="19.109375" style="1" bestFit="1" customWidth="1"/>
    <col min="14340" max="14340" width="12.44140625" style="1" bestFit="1" customWidth="1"/>
    <col min="14341" max="14341" width="13.33203125" style="1" customWidth="1"/>
    <col min="14342" max="14342" width="7.6640625" style="1" bestFit="1" customWidth="1"/>
    <col min="14343" max="14343" width="7.33203125" style="1" customWidth="1"/>
    <col min="14344" max="14344" width="9.88671875" style="1" customWidth="1"/>
    <col min="14345" max="14345" width="14.33203125" style="1" bestFit="1" customWidth="1"/>
    <col min="14346" max="14346" width="14.109375" style="1" bestFit="1" customWidth="1"/>
    <col min="14347" max="14347" width="2.44140625" style="1" customWidth="1"/>
    <col min="14348" max="14348" width="12.109375" style="1" customWidth="1"/>
    <col min="14349" max="14349" width="12.44140625" style="1" customWidth="1"/>
    <col min="14350" max="14350" width="11.5546875" style="1" bestFit="1" customWidth="1"/>
    <col min="14351" max="14351" width="10" style="1" bestFit="1" customWidth="1"/>
    <col min="14352" max="14352" width="10.88671875" style="1" customWidth="1"/>
    <col min="14353" max="14353" width="11.44140625" style="1" customWidth="1"/>
    <col min="14354" max="14354" width="11.5546875" style="1" bestFit="1" customWidth="1"/>
    <col min="14355" max="14592" width="8.88671875" style="1"/>
    <col min="14593" max="14593" width="3.44140625" style="1" customWidth="1"/>
    <col min="14594" max="14594" width="9.5546875" style="1" customWidth="1"/>
    <col min="14595" max="14595" width="19.109375" style="1" bestFit="1" customWidth="1"/>
    <col min="14596" max="14596" width="12.44140625" style="1" bestFit="1" customWidth="1"/>
    <col min="14597" max="14597" width="13.33203125" style="1" customWidth="1"/>
    <col min="14598" max="14598" width="7.6640625" style="1" bestFit="1" customWidth="1"/>
    <col min="14599" max="14599" width="7.33203125" style="1" customWidth="1"/>
    <col min="14600" max="14600" width="9.88671875" style="1" customWidth="1"/>
    <col min="14601" max="14601" width="14.33203125" style="1" bestFit="1" customWidth="1"/>
    <col min="14602" max="14602" width="14.109375" style="1" bestFit="1" customWidth="1"/>
    <col min="14603" max="14603" width="2.44140625" style="1" customWidth="1"/>
    <col min="14604" max="14604" width="12.109375" style="1" customWidth="1"/>
    <col min="14605" max="14605" width="12.44140625" style="1" customWidth="1"/>
    <col min="14606" max="14606" width="11.5546875" style="1" bestFit="1" customWidth="1"/>
    <col min="14607" max="14607" width="10" style="1" bestFit="1" customWidth="1"/>
    <col min="14608" max="14608" width="10.88671875" style="1" customWidth="1"/>
    <col min="14609" max="14609" width="11.44140625" style="1" customWidth="1"/>
    <col min="14610" max="14610" width="11.5546875" style="1" bestFit="1" customWidth="1"/>
    <col min="14611" max="14848" width="8.88671875" style="1"/>
    <col min="14849" max="14849" width="3.44140625" style="1" customWidth="1"/>
    <col min="14850" max="14850" width="9.5546875" style="1" customWidth="1"/>
    <col min="14851" max="14851" width="19.109375" style="1" bestFit="1" customWidth="1"/>
    <col min="14852" max="14852" width="12.44140625" style="1" bestFit="1" customWidth="1"/>
    <col min="14853" max="14853" width="13.33203125" style="1" customWidth="1"/>
    <col min="14854" max="14854" width="7.6640625" style="1" bestFit="1" customWidth="1"/>
    <col min="14855" max="14855" width="7.33203125" style="1" customWidth="1"/>
    <col min="14856" max="14856" width="9.88671875" style="1" customWidth="1"/>
    <col min="14857" max="14857" width="14.33203125" style="1" bestFit="1" customWidth="1"/>
    <col min="14858" max="14858" width="14.109375" style="1" bestFit="1" customWidth="1"/>
    <col min="14859" max="14859" width="2.44140625" style="1" customWidth="1"/>
    <col min="14860" max="14860" width="12.109375" style="1" customWidth="1"/>
    <col min="14861" max="14861" width="12.44140625" style="1" customWidth="1"/>
    <col min="14862" max="14862" width="11.5546875" style="1" bestFit="1" customWidth="1"/>
    <col min="14863" max="14863" width="10" style="1" bestFit="1" customWidth="1"/>
    <col min="14864" max="14864" width="10.88671875" style="1" customWidth="1"/>
    <col min="14865" max="14865" width="11.44140625" style="1" customWidth="1"/>
    <col min="14866" max="14866" width="11.5546875" style="1" bestFit="1" customWidth="1"/>
    <col min="14867" max="15104" width="8.88671875" style="1"/>
    <col min="15105" max="15105" width="3.44140625" style="1" customWidth="1"/>
    <col min="15106" max="15106" width="9.5546875" style="1" customWidth="1"/>
    <col min="15107" max="15107" width="19.109375" style="1" bestFit="1" customWidth="1"/>
    <col min="15108" max="15108" width="12.44140625" style="1" bestFit="1" customWidth="1"/>
    <col min="15109" max="15109" width="13.33203125" style="1" customWidth="1"/>
    <col min="15110" max="15110" width="7.6640625" style="1" bestFit="1" customWidth="1"/>
    <col min="15111" max="15111" width="7.33203125" style="1" customWidth="1"/>
    <col min="15112" max="15112" width="9.88671875" style="1" customWidth="1"/>
    <col min="15113" max="15113" width="14.33203125" style="1" bestFit="1" customWidth="1"/>
    <col min="15114" max="15114" width="14.109375" style="1" bestFit="1" customWidth="1"/>
    <col min="15115" max="15115" width="2.44140625" style="1" customWidth="1"/>
    <col min="15116" max="15116" width="12.109375" style="1" customWidth="1"/>
    <col min="15117" max="15117" width="12.44140625" style="1" customWidth="1"/>
    <col min="15118" max="15118" width="11.5546875" style="1" bestFit="1" customWidth="1"/>
    <col min="15119" max="15119" width="10" style="1" bestFit="1" customWidth="1"/>
    <col min="15120" max="15120" width="10.88671875" style="1" customWidth="1"/>
    <col min="15121" max="15121" width="11.44140625" style="1" customWidth="1"/>
    <col min="15122" max="15122" width="11.5546875" style="1" bestFit="1" customWidth="1"/>
    <col min="15123" max="15360" width="8.88671875" style="1"/>
    <col min="15361" max="15361" width="3.44140625" style="1" customWidth="1"/>
    <col min="15362" max="15362" width="9.5546875" style="1" customWidth="1"/>
    <col min="15363" max="15363" width="19.109375" style="1" bestFit="1" customWidth="1"/>
    <col min="15364" max="15364" width="12.44140625" style="1" bestFit="1" customWidth="1"/>
    <col min="15365" max="15365" width="13.33203125" style="1" customWidth="1"/>
    <col min="15366" max="15366" width="7.6640625" style="1" bestFit="1" customWidth="1"/>
    <col min="15367" max="15367" width="7.33203125" style="1" customWidth="1"/>
    <col min="15368" max="15368" width="9.88671875" style="1" customWidth="1"/>
    <col min="15369" max="15369" width="14.33203125" style="1" bestFit="1" customWidth="1"/>
    <col min="15370" max="15370" width="14.109375" style="1" bestFit="1" customWidth="1"/>
    <col min="15371" max="15371" width="2.44140625" style="1" customWidth="1"/>
    <col min="15372" max="15372" width="12.109375" style="1" customWidth="1"/>
    <col min="15373" max="15373" width="12.44140625" style="1" customWidth="1"/>
    <col min="15374" max="15374" width="11.5546875" style="1" bestFit="1" customWidth="1"/>
    <col min="15375" max="15375" width="10" style="1" bestFit="1" customWidth="1"/>
    <col min="15376" max="15376" width="10.88671875" style="1" customWidth="1"/>
    <col min="15377" max="15377" width="11.44140625" style="1" customWidth="1"/>
    <col min="15378" max="15378" width="11.5546875" style="1" bestFit="1" customWidth="1"/>
    <col min="15379" max="15616" width="8.88671875" style="1"/>
    <col min="15617" max="15617" width="3.44140625" style="1" customWidth="1"/>
    <col min="15618" max="15618" width="9.5546875" style="1" customWidth="1"/>
    <col min="15619" max="15619" width="19.109375" style="1" bestFit="1" customWidth="1"/>
    <col min="15620" max="15620" width="12.44140625" style="1" bestFit="1" customWidth="1"/>
    <col min="15621" max="15621" width="13.33203125" style="1" customWidth="1"/>
    <col min="15622" max="15622" width="7.6640625" style="1" bestFit="1" customWidth="1"/>
    <col min="15623" max="15623" width="7.33203125" style="1" customWidth="1"/>
    <col min="15624" max="15624" width="9.88671875" style="1" customWidth="1"/>
    <col min="15625" max="15625" width="14.33203125" style="1" bestFit="1" customWidth="1"/>
    <col min="15626" max="15626" width="14.109375" style="1" bestFit="1" customWidth="1"/>
    <col min="15627" max="15627" width="2.44140625" style="1" customWidth="1"/>
    <col min="15628" max="15628" width="12.109375" style="1" customWidth="1"/>
    <col min="15629" max="15629" width="12.44140625" style="1" customWidth="1"/>
    <col min="15630" max="15630" width="11.5546875" style="1" bestFit="1" customWidth="1"/>
    <col min="15631" max="15631" width="10" style="1" bestFit="1" customWidth="1"/>
    <col min="15632" max="15632" width="10.88671875" style="1" customWidth="1"/>
    <col min="15633" max="15633" width="11.44140625" style="1" customWidth="1"/>
    <col min="15634" max="15634" width="11.5546875" style="1" bestFit="1" customWidth="1"/>
    <col min="15635" max="15872" width="8.88671875" style="1"/>
    <col min="15873" max="15873" width="3.44140625" style="1" customWidth="1"/>
    <col min="15874" max="15874" width="9.5546875" style="1" customWidth="1"/>
    <col min="15875" max="15875" width="19.109375" style="1" bestFit="1" customWidth="1"/>
    <col min="15876" max="15876" width="12.44140625" style="1" bestFit="1" customWidth="1"/>
    <col min="15877" max="15877" width="13.33203125" style="1" customWidth="1"/>
    <col min="15878" max="15878" width="7.6640625" style="1" bestFit="1" customWidth="1"/>
    <col min="15879" max="15879" width="7.33203125" style="1" customWidth="1"/>
    <col min="15880" max="15880" width="9.88671875" style="1" customWidth="1"/>
    <col min="15881" max="15881" width="14.33203125" style="1" bestFit="1" customWidth="1"/>
    <col min="15882" max="15882" width="14.109375" style="1" bestFit="1" customWidth="1"/>
    <col min="15883" max="15883" width="2.44140625" style="1" customWidth="1"/>
    <col min="15884" max="15884" width="12.109375" style="1" customWidth="1"/>
    <col min="15885" max="15885" width="12.44140625" style="1" customWidth="1"/>
    <col min="15886" max="15886" width="11.5546875" style="1" bestFit="1" customWidth="1"/>
    <col min="15887" max="15887" width="10" style="1" bestFit="1" customWidth="1"/>
    <col min="15888" max="15888" width="10.88671875" style="1" customWidth="1"/>
    <col min="15889" max="15889" width="11.44140625" style="1" customWidth="1"/>
    <col min="15890" max="15890" width="11.5546875" style="1" bestFit="1" customWidth="1"/>
    <col min="15891" max="16128" width="8.88671875" style="1"/>
    <col min="16129" max="16129" width="3.44140625" style="1" customWidth="1"/>
    <col min="16130" max="16130" width="9.5546875" style="1" customWidth="1"/>
    <col min="16131" max="16131" width="19.109375" style="1" bestFit="1" customWidth="1"/>
    <col min="16132" max="16132" width="12.44140625" style="1" bestFit="1" customWidth="1"/>
    <col min="16133" max="16133" width="13.33203125" style="1" customWidth="1"/>
    <col min="16134" max="16134" width="7.6640625" style="1" bestFit="1" customWidth="1"/>
    <col min="16135" max="16135" width="7.33203125" style="1" customWidth="1"/>
    <col min="16136" max="16136" width="9.88671875" style="1" customWidth="1"/>
    <col min="16137" max="16137" width="14.33203125" style="1" bestFit="1" customWidth="1"/>
    <col min="16138" max="16138" width="14.109375" style="1" bestFit="1" customWidth="1"/>
    <col min="16139" max="16139" width="2.44140625" style="1" customWidth="1"/>
    <col min="16140" max="16140" width="12.109375" style="1" customWidth="1"/>
    <col min="16141" max="16141" width="12.44140625" style="1" customWidth="1"/>
    <col min="16142" max="16142" width="11.5546875" style="1" bestFit="1" customWidth="1"/>
    <col min="16143" max="16143" width="10" style="1" bestFit="1" customWidth="1"/>
    <col min="16144" max="16144" width="10.88671875" style="1" customWidth="1"/>
    <col min="16145" max="16145" width="11.44140625" style="1" customWidth="1"/>
    <col min="16146" max="16146" width="11.5546875" style="1" bestFit="1" customWidth="1"/>
    <col min="16147" max="16384" width="8.88671875" style="1"/>
  </cols>
  <sheetData>
    <row r="1" spans="1:19" ht="26.25" customHeight="1" x14ac:dyDescent="0.4">
      <c r="A1" s="119" t="s">
        <v>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</row>
    <row r="2" spans="1:19" ht="15" customHeight="1" x14ac:dyDescent="0.25">
      <c r="A2" s="120" t="s">
        <v>1</v>
      </c>
      <c r="B2" s="120"/>
      <c r="C2" s="120"/>
      <c r="D2" s="120"/>
    </row>
    <row r="3" spans="1:19" x14ac:dyDescent="0.25">
      <c r="A3" s="121" t="s">
        <v>2</v>
      </c>
      <c r="B3" s="121"/>
      <c r="C3" s="121"/>
      <c r="D3" s="121"/>
      <c r="E3" s="121"/>
      <c r="F3" s="121"/>
      <c r="G3" s="121"/>
      <c r="H3" s="121"/>
    </row>
    <row r="4" spans="1:19" ht="13.8" thickBot="1" x14ac:dyDescent="0.3">
      <c r="A4" s="118">
        <v>8.3198709487915039</v>
      </c>
      <c r="B4" s="118"/>
      <c r="C4" s="118"/>
    </row>
    <row r="5" spans="1:19" ht="13.8" thickBot="1" x14ac:dyDescent="0.3">
      <c r="A5" s="118" t="s">
        <v>3</v>
      </c>
      <c r="B5" s="118"/>
      <c r="C5" s="118"/>
      <c r="D5" s="2">
        <v>16242</v>
      </c>
      <c r="E5" s="1" t="s">
        <v>4</v>
      </c>
    </row>
    <row r="6" spans="1:19" ht="13.8" thickBot="1" x14ac:dyDescent="0.3">
      <c r="A6" s="118" t="s">
        <v>5</v>
      </c>
      <c r="B6" s="118"/>
      <c r="C6" s="118"/>
      <c r="D6" s="3">
        <f>D32</f>
        <v>79999.997134347621</v>
      </c>
      <c r="E6" s="1" t="s">
        <v>4</v>
      </c>
    </row>
    <row r="7" spans="1:19" ht="13.8" thickBot="1" x14ac:dyDescent="0.3">
      <c r="A7" s="4"/>
      <c r="B7" s="4"/>
      <c r="C7" s="4"/>
      <c r="D7" s="5"/>
    </row>
    <row r="8" spans="1:19" ht="13.8" thickBot="1" x14ac:dyDescent="0.3">
      <c r="A8" s="4"/>
      <c r="B8" s="4"/>
      <c r="C8" s="4"/>
      <c r="L8" s="95" t="s">
        <v>6</v>
      </c>
      <c r="M8" s="96"/>
      <c r="N8" s="96"/>
      <c r="O8" s="96"/>
      <c r="P8" s="96"/>
      <c r="Q8" s="96"/>
      <c r="R8" s="97"/>
    </row>
    <row r="9" spans="1:19" ht="12.75" customHeight="1" x14ac:dyDescent="0.25">
      <c r="A9" s="6"/>
      <c r="B9" s="7"/>
      <c r="C9" s="8"/>
      <c r="D9" s="98" t="s">
        <v>7</v>
      </c>
      <c r="E9" s="9" t="s">
        <v>8</v>
      </c>
      <c r="F9" s="10"/>
      <c r="G9" s="101" t="s">
        <v>9</v>
      </c>
      <c r="H9" s="102"/>
      <c r="I9" s="103"/>
      <c r="J9" s="11" t="s">
        <v>10</v>
      </c>
      <c r="L9" s="104" t="s">
        <v>11</v>
      </c>
      <c r="M9" s="107" t="s">
        <v>12</v>
      </c>
      <c r="N9" s="108"/>
      <c r="O9" s="107" t="s">
        <v>13</v>
      </c>
      <c r="P9" s="108"/>
      <c r="Q9" s="107" t="s">
        <v>14</v>
      </c>
      <c r="R9" s="108"/>
    </row>
    <row r="10" spans="1:19" ht="12.75" customHeight="1" x14ac:dyDescent="0.25">
      <c r="A10" s="12" t="s">
        <v>15</v>
      </c>
      <c r="B10" s="13"/>
      <c r="C10" s="14" t="s">
        <v>16</v>
      </c>
      <c r="D10" s="99"/>
      <c r="E10" s="113" t="s">
        <v>17</v>
      </c>
      <c r="F10" s="115" t="s">
        <v>18</v>
      </c>
      <c r="G10" s="116" t="s">
        <v>19</v>
      </c>
      <c r="H10" s="117"/>
      <c r="I10" s="15"/>
      <c r="J10" s="88" t="s">
        <v>20</v>
      </c>
      <c r="L10" s="105"/>
      <c r="M10" s="109"/>
      <c r="N10" s="110"/>
      <c r="O10" s="109"/>
      <c r="P10" s="110"/>
      <c r="Q10" s="109"/>
      <c r="R10" s="110"/>
    </row>
    <row r="11" spans="1:19" x14ac:dyDescent="0.25">
      <c r="A11" s="12" t="s">
        <v>21</v>
      </c>
      <c r="B11" s="13" t="s">
        <v>22</v>
      </c>
      <c r="C11" s="14" t="s">
        <v>23</v>
      </c>
      <c r="D11" s="99"/>
      <c r="E11" s="105"/>
      <c r="F11" s="105"/>
      <c r="G11" s="16" t="s">
        <v>24</v>
      </c>
      <c r="H11" s="17" t="s">
        <v>25</v>
      </c>
      <c r="I11" s="18" t="s">
        <v>26</v>
      </c>
      <c r="J11" s="89"/>
      <c r="L11" s="105"/>
      <c r="M11" s="111"/>
      <c r="N11" s="112"/>
      <c r="O11" s="111"/>
      <c r="P11" s="112"/>
      <c r="Q11" s="111"/>
      <c r="R11" s="112"/>
    </row>
    <row r="12" spans="1:19" ht="15.75" customHeight="1" x14ac:dyDescent="0.25">
      <c r="A12" s="12" t="s">
        <v>27</v>
      </c>
      <c r="B12" s="13"/>
      <c r="C12" s="19" t="s">
        <v>28</v>
      </c>
      <c r="D12" s="99"/>
      <c r="E12" s="105"/>
      <c r="F12" s="105"/>
      <c r="G12" s="16" t="s">
        <v>29</v>
      </c>
      <c r="H12" s="16" t="s">
        <v>30</v>
      </c>
      <c r="I12" s="16" t="s">
        <v>31</v>
      </c>
      <c r="J12" s="89"/>
      <c r="L12" s="106"/>
      <c r="M12" s="20" t="s">
        <v>3</v>
      </c>
      <c r="N12" s="20" t="s">
        <v>32</v>
      </c>
      <c r="O12" s="20" t="s">
        <v>3</v>
      </c>
      <c r="P12" s="20" t="s">
        <v>32</v>
      </c>
      <c r="Q12" s="20" t="s">
        <v>3</v>
      </c>
      <c r="R12" s="20" t="s">
        <v>32</v>
      </c>
    </row>
    <row r="13" spans="1:19" ht="20.25" customHeight="1" thickBot="1" x14ac:dyDescent="0.3">
      <c r="A13" s="21"/>
      <c r="B13" s="22"/>
      <c r="C13" s="23" t="s">
        <v>4</v>
      </c>
      <c r="D13" s="100"/>
      <c r="E13" s="114"/>
      <c r="F13" s="114"/>
      <c r="G13" s="24" t="s">
        <v>33</v>
      </c>
      <c r="H13" s="24" t="s">
        <v>34</v>
      </c>
      <c r="I13" s="24"/>
      <c r="J13" s="90"/>
      <c r="L13" s="25">
        <v>2E-3</v>
      </c>
      <c r="M13" s="25">
        <v>0.22</v>
      </c>
      <c r="N13" s="25">
        <v>0.1</v>
      </c>
      <c r="O13" s="25">
        <v>2.9000000000000001E-2</v>
      </c>
      <c r="P13" s="26">
        <v>0</v>
      </c>
      <c r="Q13" s="26">
        <v>5.0999999999999997E-2</v>
      </c>
      <c r="R13" s="26">
        <v>0.05</v>
      </c>
      <c r="S13" s="27"/>
    </row>
    <row r="14" spans="1:19" ht="13.8" thickBot="1" x14ac:dyDescent="0.3">
      <c r="A14" s="28">
        <v>1</v>
      </c>
      <c r="B14" s="29">
        <v>2</v>
      </c>
      <c r="C14" s="29">
        <v>3</v>
      </c>
      <c r="D14" s="28">
        <v>4</v>
      </c>
      <c r="E14" s="29">
        <v>5</v>
      </c>
      <c r="F14" s="29">
        <v>6</v>
      </c>
      <c r="G14" s="28">
        <v>7</v>
      </c>
      <c r="H14" s="29">
        <v>8</v>
      </c>
      <c r="I14" s="29">
        <v>9</v>
      </c>
      <c r="J14" s="6">
        <v>10</v>
      </c>
      <c r="K14" s="30"/>
      <c r="L14" s="31">
        <v>1</v>
      </c>
      <c r="M14" s="32">
        <v>2</v>
      </c>
      <c r="N14" s="32">
        <v>3</v>
      </c>
      <c r="O14" s="32">
        <v>4</v>
      </c>
      <c r="P14" s="32">
        <v>5</v>
      </c>
      <c r="Q14" s="32">
        <v>6</v>
      </c>
      <c r="R14" s="33">
        <v>7</v>
      </c>
    </row>
    <row r="15" spans="1:19" ht="21" customHeight="1" x14ac:dyDescent="0.3">
      <c r="A15" s="34">
        <v>1</v>
      </c>
      <c r="B15" s="35"/>
      <c r="C15" s="36">
        <v>30000</v>
      </c>
      <c r="D15" s="37">
        <v>3794.4739218183549</v>
      </c>
      <c r="E15" s="37">
        <v>0</v>
      </c>
      <c r="F15" s="37">
        <f>(C15+D15-E15)*0.13</f>
        <v>4393.2816098363865</v>
      </c>
      <c r="G15" s="38" t="s">
        <v>35</v>
      </c>
      <c r="H15" s="37">
        <v>0</v>
      </c>
      <c r="I15" s="39">
        <f>C15+D15-F15-H15</f>
        <v>29401.192311981966</v>
      </c>
      <c r="J15" s="40" t="s">
        <v>36</v>
      </c>
      <c r="K15" s="41"/>
      <c r="L15" s="42">
        <f t="shared" ref="L15:L31" si="0">Травматизм*($C15+$D15)</f>
        <v>67.588947843636703</v>
      </c>
      <c r="M15" s="43">
        <f t="shared" ref="M15:M31" si="1">IF((C15+D15)&lt;=МРОТ, (C15+D15)*МРОТ_ПФ, МРОТ_ПФ*МРОТ)</f>
        <v>3573.2400000000002</v>
      </c>
      <c r="N15" s="44">
        <f t="shared" ref="N15:N31" si="2">IF((C15+D15)&lt;=МРОТ,0,(C15+D15-МРОТ)*МРОТ_UP_ПФ)</f>
        <v>1755.2473921818355</v>
      </c>
      <c r="O15" s="44">
        <f t="shared" ref="O15:O31" si="3">IF((C15+D15)&lt;МРОТ, (C15+D15)*СОЦ_СТРАХ, МРОТ*СОЦ_СТРАХ)</f>
        <v>471.01800000000003</v>
      </c>
      <c r="P15" s="44">
        <v>0</v>
      </c>
      <c r="Q15" s="44">
        <f t="shared" ref="Q15:Q31" si="4">IF(C15+D15&lt;МРОТ,(C15+D15)*МРОТ_ОМС,МРОТ*МРОТ_ОМС)</f>
        <v>828.34199999999998</v>
      </c>
      <c r="R15" s="44">
        <f t="shared" ref="R15:R31" si="5">IF(C15+D15&lt;=МРОТ,0,(C15+D15-МРОТ)*МРОТ_UP_ОМС)</f>
        <v>877.62369609091775</v>
      </c>
      <c r="S15" s="45">
        <f>SUM(L15:R15)</f>
        <v>7573.0600361163906</v>
      </c>
    </row>
    <row r="16" spans="1:19" ht="15.75" customHeight="1" x14ac:dyDescent="0.3">
      <c r="A16" s="46">
        <v>2</v>
      </c>
      <c r="B16" s="47"/>
      <c r="C16" s="48">
        <v>30000</v>
      </c>
      <c r="D16" s="49">
        <v>7938.4313441846798</v>
      </c>
      <c r="E16" s="49">
        <v>0</v>
      </c>
      <c r="F16" s="49">
        <f t="shared" ref="F16:F31" si="6">(C16+D16-E16)*0.13</f>
        <v>4931.9960747440091</v>
      </c>
      <c r="G16" s="50" t="s">
        <v>35</v>
      </c>
      <c r="H16" s="49">
        <v>0</v>
      </c>
      <c r="I16" s="51">
        <f t="shared" ref="I16:I31" si="7">C16+D16-F16-H16</f>
        <v>33006.43526944067</v>
      </c>
      <c r="J16" s="40" t="s">
        <v>37</v>
      </c>
      <c r="K16" s="41"/>
      <c r="L16" s="42">
        <f t="shared" si="0"/>
        <v>75.876862688369371</v>
      </c>
      <c r="M16" s="43">
        <f t="shared" si="1"/>
        <v>3573.2400000000002</v>
      </c>
      <c r="N16" s="44">
        <f t="shared" si="2"/>
        <v>2169.6431344184684</v>
      </c>
      <c r="O16" s="44">
        <f t="shared" si="3"/>
        <v>471.01800000000003</v>
      </c>
      <c r="P16" s="52">
        <v>0</v>
      </c>
      <c r="Q16" s="44">
        <f t="shared" si="4"/>
        <v>828.34199999999998</v>
      </c>
      <c r="R16" s="44">
        <f t="shared" si="5"/>
        <v>1084.8215672092342</v>
      </c>
      <c r="S16" s="45">
        <f t="shared" ref="S16:S21" si="8">SUM(L16:R16)</f>
        <v>8202.9415643160719</v>
      </c>
    </row>
    <row r="17" spans="1:19" ht="15.6" x14ac:dyDescent="0.3">
      <c r="A17" s="46">
        <v>3</v>
      </c>
      <c r="B17" s="53"/>
      <c r="C17" s="48">
        <v>30000</v>
      </c>
      <c r="D17" s="49">
        <v>6008.8769886624468</v>
      </c>
      <c r="E17" s="49">
        <v>0</v>
      </c>
      <c r="F17" s="49">
        <f t="shared" si="6"/>
        <v>4681.1540085261186</v>
      </c>
      <c r="G17" s="50" t="s">
        <v>35</v>
      </c>
      <c r="H17" s="49">
        <v>0</v>
      </c>
      <c r="I17" s="51">
        <f t="shared" si="7"/>
        <v>31327.722980136332</v>
      </c>
      <c r="J17" s="40" t="s">
        <v>38</v>
      </c>
      <c r="K17" s="54"/>
      <c r="L17" s="42">
        <f t="shared" si="0"/>
        <v>72.017753977324901</v>
      </c>
      <c r="M17" s="43">
        <f t="shared" si="1"/>
        <v>3573.2400000000002</v>
      </c>
      <c r="N17" s="44">
        <f t="shared" si="2"/>
        <v>1976.6876988662452</v>
      </c>
      <c r="O17" s="44">
        <f t="shared" si="3"/>
        <v>471.01800000000003</v>
      </c>
      <c r="P17" s="52">
        <v>0</v>
      </c>
      <c r="Q17" s="44">
        <f t="shared" si="4"/>
        <v>828.34199999999998</v>
      </c>
      <c r="R17" s="44">
        <f t="shared" si="5"/>
        <v>988.34384943312261</v>
      </c>
      <c r="S17" s="45">
        <f t="shared" si="8"/>
        <v>7909.6493022766936</v>
      </c>
    </row>
    <row r="18" spans="1:19" ht="27.75" customHeight="1" x14ac:dyDescent="0.3">
      <c r="A18" s="46">
        <v>4</v>
      </c>
      <c r="B18" s="53"/>
      <c r="C18" s="48">
        <v>30000</v>
      </c>
      <c r="D18" s="49">
        <v>3728.449864322823</v>
      </c>
      <c r="E18" s="49">
        <v>0</v>
      </c>
      <c r="F18" s="49">
        <f t="shared" si="6"/>
        <v>4384.6984823619669</v>
      </c>
      <c r="G18" s="50" t="s">
        <v>35</v>
      </c>
      <c r="H18" s="49">
        <v>0</v>
      </c>
      <c r="I18" s="51">
        <f t="shared" si="7"/>
        <v>29343.751381960854</v>
      </c>
      <c r="J18" s="40" t="s">
        <v>39</v>
      </c>
      <c r="K18" s="54"/>
      <c r="L18" s="42">
        <f t="shared" si="0"/>
        <v>67.456899728645638</v>
      </c>
      <c r="M18" s="43">
        <f t="shared" si="1"/>
        <v>3573.2400000000002</v>
      </c>
      <c r="N18" s="44">
        <f t="shared" si="2"/>
        <v>1748.6449864322822</v>
      </c>
      <c r="O18" s="44">
        <f t="shared" si="3"/>
        <v>471.01800000000003</v>
      </c>
      <c r="P18" s="52">
        <v>0</v>
      </c>
      <c r="Q18" s="44">
        <f t="shared" si="4"/>
        <v>828.34199999999998</v>
      </c>
      <c r="R18" s="44">
        <f t="shared" si="5"/>
        <v>874.32249321614108</v>
      </c>
      <c r="S18" s="45">
        <f>SUM(L18:R18)</f>
        <v>7563.0243793770687</v>
      </c>
    </row>
    <row r="19" spans="1:19" ht="26.25" customHeight="1" x14ac:dyDescent="0.3">
      <c r="A19" s="46">
        <v>5</v>
      </c>
      <c r="B19" s="53"/>
      <c r="C19" s="48">
        <v>30000</v>
      </c>
      <c r="D19" s="49">
        <v>2925.5462248640733</v>
      </c>
      <c r="E19" s="49">
        <v>0</v>
      </c>
      <c r="F19" s="49">
        <f t="shared" si="6"/>
        <v>4280.3210092323297</v>
      </c>
      <c r="G19" s="50" t="s">
        <v>35</v>
      </c>
      <c r="H19" s="49">
        <v>0</v>
      </c>
      <c r="I19" s="51">
        <f t="shared" si="7"/>
        <v>28645.225215631748</v>
      </c>
      <c r="J19" s="55" t="s">
        <v>40</v>
      </c>
      <c r="K19" s="54"/>
      <c r="L19" s="42">
        <f t="shared" si="0"/>
        <v>65.851092449728156</v>
      </c>
      <c r="M19" s="43">
        <f t="shared" si="1"/>
        <v>3573.2400000000002</v>
      </c>
      <c r="N19" s="44">
        <f t="shared" si="2"/>
        <v>1668.3546224864076</v>
      </c>
      <c r="O19" s="44">
        <f t="shared" si="3"/>
        <v>471.01800000000003</v>
      </c>
      <c r="P19" s="52">
        <v>0</v>
      </c>
      <c r="Q19" s="44">
        <f t="shared" si="4"/>
        <v>828.34199999999998</v>
      </c>
      <c r="R19" s="44">
        <f t="shared" si="5"/>
        <v>834.1773112432038</v>
      </c>
      <c r="S19" s="45">
        <f t="shared" si="8"/>
        <v>7440.9830261793395</v>
      </c>
    </row>
    <row r="20" spans="1:19" ht="23.25" customHeight="1" x14ac:dyDescent="0.3">
      <c r="A20" s="46">
        <v>6</v>
      </c>
      <c r="B20" s="53"/>
      <c r="C20" s="48">
        <v>30000</v>
      </c>
      <c r="D20" s="49">
        <v>8434.7737974375796</v>
      </c>
      <c r="E20" s="49">
        <v>0</v>
      </c>
      <c r="F20" s="49">
        <f t="shared" si="6"/>
        <v>4996.5205936668854</v>
      </c>
      <c r="G20" s="50" t="s">
        <v>35</v>
      </c>
      <c r="H20" s="49">
        <v>0</v>
      </c>
      <c r="I20" s="51">
        <f t="shared" si="7"/>
        <v>33438.253203770691</v>
      </c>
      <c r="J20" s="40" t="s">
        <v>41</v>
      </c>
      <c r="K20" s="54"/>
      <c r="L20" s="42">
        <f t="shared" si="0"/>
        <v>76.869547594875158</v>
      </c>
      <c r="M20" s="43">
        <f t="shared" si="1"/>
        <v>3573.2400000000002</v>
      </c>
      <c r="N20" s="44">
        <f t="shared" si="2"/>
        <v>2219.277379743758</v>
      </c>
      <c r="O20" s="44">
        <f t="shared" si="3"/>
        <v>471.01800000000003</v>
      </c>
      <c r="P20" s="52">
        <v>0</v>
      </c>
      <c r="Q20" s="44">
        <f t="shared" si="4"/>
        <v>828.34199999999998</v>
      </c>
      <c r="R20" s="44">
        <f t="shared" si="5"/>
        <v>1109.638689871879</v>
      </c>
      <c r="S20" s="45">
        <f t="shared" si="8"/>
        <v>8278.3856172105116</v>
      </c>
    </row>
    <row r="21" spans="1:19" ht="23.25" customHeight="1" x14ac:dyDescent="0.3">
      <c r="A21" s="46">
        <v>7</v>
      </c>
      <c r="B21" s="53"/>
      <c r="C21" s="48">
        <v>30000</v>
      </c>
      <c r="D21" s="49">
        <v>3639.5212205569983</v>
      </c>
      <c r="E21" s="49">
        <v>0</v>
      </c>
      <c r="F21" s="49">
        <f t="shared" si="6"/>
        <v>4373.1377586724102</v>
      </c>
      <c r="G21" s="50" t="s">
        <v>35</v>
      </c>
      <c r="H21" s="49">
        <v>0</v>
      </c>
      <c r="I21" s="51">
        <f t="shared" si="7"/>
        <v>29266.383461884587</v>
      </c>
      <c r="J21" s="40" t="s">
        <v>42</v>
      </c>
      <c r="K21" s="54"/>
      <c r="L21" s="42">
        <f t="shared" si="0"/>
        <v>67.279042441114001</v>
      </c>
      <c r="M21" s="43">
        <f>IF((C21+D21)&lt;=МРОТ, (C21+D21)*МРОТ_ПФ, МРОТ_ПФ*МРОТ)</f>
        <v>3573.2400000000002</v>
      </c>
      <c r="N21" s="44">
        <f t="shared" si="2"/>
        <v>1739.7521220557001</v>
      </c>
      <c r="O21" s="44">
        <f t="shared" si="3"/>
        <v>471.01800000000003</v>
      </c>
      <c r="P21" s="52">
        <v>0</v>
      </c>
      <c r="Q21" s="44">
        <f t="shared" si="4"/>
        <v>828.34199999999998</v>
      </c>
      <c r="R21" s="44">
        <f t="shared" si="5"/>
        <v>869.87606102785003</v>
      </c>
      <c r="S21" s="45">
        <f t="shared" si="8"/>
        <v>7549.507225524665</v>
      </c>
    </row>
    <row r="22" spans="1:19" ht="23.25" customHeight="1" x14ac:dyDescent="0.3">
      <c r="A22" s="46">
        <v>8</v>
      </c>
      <c r="B22" s="53"/>
      <c r="C22" s="48">
        <v>30000</v>
      </c>
      <c r="D22" s="49">
        <v>6265.8520725028384</v>
      </c>
      <c r="E22" s="49">
        <v>0</v>
      </c>
      <c r="F22" s="49">
        <f t="shared" si="6"/>
        <v>4714.5607694253686</v>
      </c>
      <c r="G22" s="50" t="s">
        <v>35</v>
      </c>
      <c r="H22" s="49">
        <v>0</v>
      </c>
      <c r="I22" s="51">
        <f t="shared" si="7"/>
        <v>31551.291303077465</v>
      </c>
      <c r="J22" s="55" t="s">
        <v>43</v>
      </c>
      <c r="K22" s="54"/>
      <c r="L22" s="42">
        <f t="shared" si="0"/>
        <v>72.531704145005676</v>
      </c>
      <c r="M22" s="43">
        <f>IF((C22+D22)&lt;=МРОТ, (C22+D22)*МРОТ_ПФ, МРОТ_ПФ*МРОТ)</f>
        <v>3573.2400000000002</v>
      </c>
      <c r="N22" s="44">
        <f t="shared" si="2"/>
        <v>2002.3852072502837</v>
      </c>
      <c r="O22" s="44">
        <f t="shared" si="3"/>
        <v>471.01800000000003</v>
      </c>
      <c r="P22" s="52">
        <v>0</v>
      </c>
      <c r="Q22" s="44">
        <f t="shared" si="4"/>
        <v>828.34199999999998</v>
      </c>
      <c r="R22" s="44">
        <f t="shared" si="5"/>
        <v>1001.1926036251418</v>
      </c>
      <c r="S22" s="45">
        <f>SUM(L22:R22)</f>
        <v>7948.7095150204314</v>
      </c>
    </row>
    <row r="23" spans="1:19" ht="23.25" customHeight="1" x14ac:dyDescent="0.3">
      <c r="A23" s="46">
        <v>9</v>
      </c>
      <c r="B23" s="53"/>
      <c r="C23" s="48">
        <v>30000</v>
      </c>
      <c r="D23" s="49">
        <v>1813.6845675564364</v>
      </c>
      <c r="E23" s="49">
        <v>0</v>
      </c>
      <c r="F23" s="49">
        <f t="shared" si="6"/>
        <v>4135.7789937823372</v>
      </c>
      <c r="G23" s="50" t="s">
        <v>35</v>
      </c>
      <c r="H23" s="49">
        <v>0</v>
      </c>
      <c r="I23" s="51">
        <f t="shared" si="7"/>
        <v>27677.9055737741</v>
      </c>
      <c r="J23" s="55" t="s">
        <v>44</v>
      </c>
      <c r="K23" s="54"/>
      <c r="L23" s="42">
        <f t="shared" si="0"/>
        <v>63.627369135112872</v>
      </c>
      <c r="M23" s="43">
        <f t="shared" si="1"/>
        <v>3573.2400000000002</v>
      </c>
      <c r="N23" s="44">
        <f t="shared" ref="N23:N24" si="9">IF((C23+D23)&lt;=МРОТ,0,(C23+D23-МРОТ)*МРОТ_UP_ПФ)</f>
        <v>1557.1684567556438</v>
      </c>
      <c r="O23" s="44">
        <f t="shared" ref="O23:O24" si="10">IF((C23+D23)&lt;МРОТ, (C23+D23)*СОЦ_СТРАХ, МРОТ*СОЦ_СТРАХ)</f>
        <v>471.01800000000003</v>
      </c>
      <c r="P23" s="52">
        <v>0</v>
      </c>
      <c r="Q23" s="44">
        <f t="shared" ref="Q23:Q24" si="11">IF(C23+D23&lt;МРОТ,(C23+D23)*МРОТ_ОМС,МРОТ*МРОТ_ОМС)</f>
        <v>828.34199999999998</v>
      </c>
      <c r="R23" s="44">
        <f t="shared" ref="R23:R24" si="12">IF(C23+D23&lt;=МРОТ,0,(C23+D23-МРОТ)*МРОТ_UP_ОМС)</f>
        <v>778.58422837782189</v>
      </c>
      <c r="S23" s="45">
        <f t="shared" ref="S23:S24" si="13">SUM(L23:R23)</f>
        <v>7271.9800542685789</v>
      </c>
    </row>
    <row r="24" spans="1:19" ht="23.25" customHeight="1" x14ac:dyDescent="0.3">
      <c r="A24" s="46">
        <v>10</v>
      </c>
      <c r="B24" s="53"/>
      <c r="C24" s="48">
        <v>30000</v>
      </c>
      <c r="D24" s="49">
        <v>4288.7410696242341</v>
      </c>
      <c r="E24" s="49">
        <v>0</v>
      </c>
      <c r="F24" s="49">
        <f t="shared" si="6"/>
        <v>4457.5363390511511</v>
      </c>
      <c r="G24" s="50" t="s">
        <v>35</v>
      </c>
      <c r="H24" s="49">
        <v>0</v>
      </c>
      <c r="I24" s="51">
        <f t="shared" si="7"/>
        <v>29831.204730573085</v>
      </c>
      <c r="J24" s="55" t="s">
        <v>45</v>
      </c>
      <c r="K24" s="54"/>
      <c r="L24" s="42">
        <f t="shared" si="0"/>
        <v>68.577482139248474</v>
      </c>
      <c r="M24" s="43">
        <f t="shared" si="1"/>
        <v>3573.2400000000002</v>
      </c>
      <c r="N24" s="44">
        <f t="shared" si="9"/>
        <v>1804.6741069624238</v>
      </c>
      <c r="O24" s="44">
        <f t="shared" si="10"/>
        <v>471.01800000000003</v>
      </c>
      <c r="P24" s="52">
        <v>0</v>
      </c>
      <c r="Q24" s="44">
        <f t="shared" si="11"/>
        <v>828.34199999999998</v>
      </c>
      <c r="R24" s="44">
        <f t="shared" si="12"/>
        <v>902.33705348121191</v>
      </c>
      <c r="S24" s="45">
        <f t="shared" si="13"/>
        <v>7648.1886425828843</v>
      </c>
    </row>
    <row r="25" spans="1:19" ht="23.25" customHeight="1" x14ac:dyDescent="0.3">
      <c r="A25" s="46">
        <v>11</v>
      </c>
      <c r="B25" s="53"/>
      <c r="C25" s="48">
        <v>30000</v>
      </c>
      <c r="D25" s="49">
        <v>2464.220897322873</v>
      </c>
      <c r="E25" s="49">
        <v>0</v>
      </c>
      <c r="F25" s="49">
        <f t="shared" si="6"/>
        <v>4220.3487166519735</v>
      </c>
      <c r="G25" s="50" t="s">
        <v>35</v>
      </c>
      <c r="H25" s="49">
        <v>0</v>
      </c>
      <c r="I25" s="51">
        <f t="shared" si="7"/>
        <v>28243.8721806709</v>
      </c>
      <c r="J25" s="55" t="s">
        <v>46</v>
      </c>
      <c r="K25" s="54"/>
      <c r="L25" s="42">
        <f t="shared" si="0"/>
        <v>64.928441794645749</v>
      </c>
      <c r="M25" s="43">
        <f t="shared" si="1"/>
        <v>3573.2400000000002</v>
      </c>
      <c r="N25" s="44">
        <f t="shared" si="2"/>
        <v>1622.2220897322875</v>
      </c>
      <c r="O25" s="44">
        <f t="shared" si="3"/>
        <v>471.01800000000003</v>
      </c>
      <c r="P25" s="52">
        <v>0</v>
      </c>
      <c r="Q25" s="44">
        <f t="shared" si="4"/>
        <v>828.34199999999998</v>
      </c>
      <c r="R25" s="44">
        <f t="shared" si="5"/>
        <v>811.11104486614374</v>
      </c>
      <c r="S25" s="45">
        <f>SUM(L25:R25)</f>
        <v>7370.8615763930766</v>
      </c>
    </row>
    <row r="26" spans="1:19" ht="23.25" customHeight="1" x14ac:dyDescent="0.3">
      <c r="A26" s="46">
        <v>12</v>
      </c>
      <c r="B26" s="53"/>
      <c r="C26" s="48">
        <v>30000</v>
      </c>
      <c r="D26" s="49">
        <v>4958.1631947759843</v>
      </c>
      <c r="E26" s="49">
        <v>0</v>
      </c>
      <c r="F26" s="49">
        <f t="shared" si="6"/>
        <v>4544.5612153208776</v>
      </c>
      <c r="G26" s="50" t="s">
        <v>35</v>
      </c>
      <c r="H26" s="49">
        <v>1</v>
      </c>
      <c r="I26" s="51">
        <f t="shared" si="7"/>
        <v>30412.601979455103</v>
      </c>
      <c r="J26" s="56" t="s">
        <v>47</v>
      </c>
      <c r="K26" s="54"/>
      <c r="L26" s="42">
        <f t="shared" si="0"/>
        <v>69.916326389551969</v>
      </c>
      <c r="M26" s="43">
        <f t="shared" ref="M26:M30" si="14">IF((C26+D26)&lt;=МРОТ, (C26+D26)*МРОТ_ПФ, МРОТ_ПФ*МРОТ)</f>
        <v>3573.2400000000002</v>
      </c>
      <c r="N26" s="44">
        <f t="shared" ref="N26:N30" si="15">IF((C26+D26)&lt;=МРОТ,0,(C26+D26-МРОТ)*МРОТ_UP_ПФ)</f>
        <v>1871.6163194775982</v>
      </c>
      <c r="O26" s="44">
        <f t="shared" ref="O26:O30" si="16">IF((C26+D26)&lt;МРОТ, (C26+D26)*СОЦ_СТРАХ, МРОТ*СОЦ_СТРАХ)</f>
        <v>471.01800000000003</v>
      </c>
      <c r="P26" s="52">
        <v>0</v>
      </c>
      <c r="Q26" s="44">
        <f t="shared" ref="Q26:Q30" si="17">IF(C26+D26&lt;МРОТ,(C26+D26)*МРОТ_ОМС,МРОТ*МРОТ_ОМС)</f>
        <v>828.34199999999998</v>
      </c>
      <c r="R26" s="44">
        <f t="shared" ref="R26:R30" si="18">IF(C26+D26&lt;=МРОТ,0,(C26+D26-МРОТ)*МРОТ_UP_ОМС)</f>
        <v>935.80815973879908</v>
      </c>
      <c r="S26" s="45">
        <f t="shared" ref="S26:S30" si="19">SUM(L26:R26)</f>
        <v>7749.9408056059492</v>
      </c>
    </row>
    <row r="27" spans="1:19" ht="23.25" customHeight="1" x14ac:dyDescent="0.3">
      <c r="A27" s="46">
        <v>13</v>
      </c>
      <c r="B27" s="53"/>
      <c r="C27" s="48">
        <v>30000</v>
      </c>
      <c r="D27" s="49">
        <v>3410.3366602793185</v>
      </c>
      <c r="E27" s="49">
        <v>0</v>
      </c>
      <c r="F27" s="49">
        <f t="shared" si="6"/>
        <v>4343.3437658363118</v>
      </c>
      <c r="G27" s="50" t="s">
        <v>35</v>
      </c>
      <c r="H27" s="49">
        <v>2</v>
      </c>
      <c r="I27" s="51">
        <f t="shared" si="7"/>
        <v>29064.992894443007</v>
      </c>
      <c r="J27" s="57" t="s">
        <v>48</v>
      </c>
      <c r="K27" s="54"/>
      <c r="L27" s="42">
        <f t="shared" si="0"/>
        <v>66.82067332055864</v>
      </c>
      <c r="M27" s="43">
        <f t="shared" si="14"/>
        <v>3573.2400000000002</v>
      </c>
      <c r="N27" s="44">
        <f t="shared" si="15"/>
        <v>1716.8336660279319</v>
      </c>
      <c r="O27" s="44">
        <f t="shared" si="16"/>
        <v>471.01800000000003</v>
      </c>
      <c r="P27" s="52">
        <v>0</v>
      </c>
      <c r="Q27" s="44">
        <f t="shared" si="17"/>
        <v>828.34199999999998</v>
      </c>
      <c r="R27" s="44">
        <f t="shared" si="18"/>
        <v>858.41683301396597</v>
      </c>
      <c r="S27" s="45">
        <f t="shared" si="19"/>
        <v>7514.6711723624576</v>
      </c>
    </row>
    <row r="28" spans="1:19" ht="23.25" customHeight="1" x14ac:dyDescent="0.3">
      <c r="A28" s="46">
        <v>14</v>
      </c>
      <c r="B28" s="53"/>
      <c r="C28" s="48">
        <v>30000</v>
      </c>
      <c r="D28" s="49">
        <v>8881.9118532208267</v>
      </c>
      <c r="E28" s="49">
        <v>0</v>
      </c>
      <c r="F28" s="49">
        <f t="shared" si="6"/>
        <v>5054.6485409187071</v>
      </c>
      <c r="G28" s="50" t="s">
        <v>35</v>
      </c>
      <c r="H28" s="49">
        <v>3</v>
      </c>
      <c r="I28" s="51">
        <f t="shared" si="7"/>
        <v>33824.263312302115</v>
      </c>
      <c r="J28" s="40" t="s">
        <v>49</v>
      </c>
      <c r="K28" s="54"/>
      <c r="L28" s="42">
        <f t="shared" si="0"/>
        <v>77.763823706441642</v>
      </c>
      <c r="M28" s="43">
        <f t="shared" si="14"/>
        <v>3573.2400000000002</v>
      </c>
      <c r="N28" s="44">
        <f t="shared" si="15"/>
        <v>2263.9911853220824</v>
      </c>
      <c r="O28" s="44">
        <f t="shared" si="16"/>
        <v>471.01800000000003</v>
      </c>
      <c r="P28" s="52">
        <v>0</v>
      </c>
      <c r="Q28" s="44">
        <f t="shared" si="17"/>
        <v>828.34199999999998</v>
      </c>
      <c r="R28" s="44">
        <f t="shared" si="18"/>
        <v>1131.9955926610412</v>
      </c>
      <c r="S28" s="45">
        <f t="shared" si="19"/>
        <v>8346.3506016895644</v>
      </c>
    </row>
    <row r="29" spans="1:19" ht="23.25" customHeight="1" x14ac:dyDescent="0.3">
      <c r="A29" s="46">
        <v>15</v>
      </c>
      <c r="B29" s="53"/>
      <c r="C29" s="48">
        <v>30000</v>
      </c>
      <c r="D29" s="49">
        <v>1401.3458479046981</v>
      </c>
      <c r="E29" s="49">
        <v>0</v>
      </c>
      <c r="F29" s="49">
        <f t="shared" si="6"/>
        <v>4082.1749602276109</v>
      </c>
      <c r="G29" s="50" t="s">
        <v>35</v>
      </c>
      <c r="H29" s="49">
        <v>4</v>
      </c>
      <c r="I29" s="51">
        <f t="shared" si="7"/>
        <v>27315.170887677086</v>
      </c>
      <c r="J29" s="55" t="s">
        <v>50</v>
      </c>
      <c r="K29" s="54"/>
      <c r="L29" s="42">
        <f t="shared" si="0"/>
        <v>62.802691695809393</v>
      </c>
      <c r="M29" s="43">
        <f t="shared" si="14"/>
        <v>3573.2400000000002</v>
      </c>
      <c r="N29" s="44">
        <f t="shared" si="15"/>
        <v>1515.9345847904697</v>
      </c>
      <c r="O29" s="44">
        <f t="shared" si="16"/>
        <v>471.01800000000003</v>
      </c>
      <c r="P29" s="52">
        <v>0</v>
      </c>
      <c r="Q29" s="44">
        <f t="shared" si="17"/>
        <v>828.34199999999998</v>
      </c>
      <c r="R29" s="44">
        <f t="shared" si="18"/>
        <v>757.96729239523484</v>
      </c>
      <c r="S29" s="45">
        <f t="shared" si="19"/>
        <v>7209.3045688815137</v>
      </c>
    </row>
    <row r="30" spans="1:19" ht="23.25" customHeight="1" x14ac:dyDescent="0.3">
      <c r="A30" s="58">
        <v>16</v>
      </c>
      <c r="B30" s="59"/>
      <c r="C30" s="60">
        <v>30000</v>
      </c>
      <c r="D30" s="49">
        <v>1247.3611640142378</v>
      </c>
      <c r="E30" s="49">
        <v>0</v>
      </c>
      <c r="F30" s="49">
        <f t="shared" si="6"/>
        <v>4062.156951321851</v>
      </c>
      <c r="G30" s="50" t="s">
        <v>35</v>
      </c>
      <c r="H30" s="49">
        <v>5</v>
      </c>
      <c r="I30" s="51">
        <f t="shared" si="7"/>
        <v>27180.204212692384</v>
      </c>
      <c r="J30" s="40" t="s">
        <v>51</v>
      </c>
      <c r="K30" s="54"/>
      <c r="L30" s="42">
        <f t="shared" si="0"/>
        <v>62.494722328028473</v>
      </c>
      <c r="M30" s="43">
        <f t="shared" si="14"/>
        <v>3573.2400000000002</v>
      </c>
      <c r="N30" s="44">
        <f t="shared" si="15"/>
        <v>1500.5361164014239</v>
      </c>
      <c r="O30" s="44">
        <f t="shared" si="16"/>
        <v>471.01800000000003</v>
      </c>
      <c r="P30" s="52">
        <v>0</v>
      </c>
      <c r="Q30" s="44">
        <f t="shared" si="17"/>
        <v>828.34199999999998</v>
      </c>
      <c r="R30" s="44">
        <f t="shared" si="18"/>
        <v>750.26805820071195</v>
      </c>
      <c r="S30" s="45">
        <f t="shared" si="19"/>
        <v>7185.8988969301645</v>
      </c>
    </row>
    <row r="31" spans="1:19" ht="23.25" customHeight="1" thickBot="1" x14ac:dyDescent="0.35">
      <c r="A31" s="46">
        <v>17</v>
      </c>
      <c r="B31" s="47"/>
      <c r="C31" s="48">
        <v>30000</v>
      </c>
      <c r="D31" s="61">
        <v>8798.3064452992239</v>
      </c>
      <c r="E31" s="62">
        <v>0</v>
      </c>
      <c r="F31" s="61">
        <f t="shared" si="6"/>
        <v>5043.7798378888992</v>
      </c>
      <c r="G31" s="63" t="s">
        <v>35</v>
      </c>
      <c r="H31" s="62">
        <v>0</v>
      </c>
      <c r="I31" s="64">
        <f t="shared" si="7"/>
        <v>33754.526607410327</v>
      </c>
      <c r="J31" s="55" t="s">
        <v>52</v>
      </c>
      <c r="K31" s="54"/>
      <c r="L31" s="42">
        <f t="shared" si="0"/>
        <v>77.59661289059845</v>
      </c>
      <c r="M31" s="43">
        <f t="shared" si="1"/>
        <v>3573.2400000000002</v>
      </c>
      <c r="N31" s="44">
        <f t="shared" si="2"/>
        <v>2255.6306445299228</v>
      </c>
      <c r="O31" s="44">
        <f t="shared" si="3"/>
        <v>471.01800000000003</v>
      </c>
      <c r="P31" s="52">
        <v>0</v>
      </c>
      <c r="Q31" s="44">
        <f t="shared" si="4"/>
        <v>828.34199999999998</v>
      </c>
      <c r="R31" s="44">
        <f t="shared" si="5"/>
        <v>1127.8153222649614</v>
      </c>
      <c r="S31" s="65">
        <f>SUM(L31:R31)</f>
        <v>8333.6425796854819</v>
      </c>
    </row>
    <row r="32" spans="1:19" ht="16.2" thickBot="1" x14ac:dyDescent="0.35">
      <c r="A32" s="66" t="s">
        <v>53</v>
      </c>
      <c r="B32" s="67"/>
      <c r="C32" s="68">
        <f>SUM(C15:C31)</f>
        <v>510000</v>
      </c>
      <c r="D32" s="68">
        <f>SUM(D15:D31)</f>
        <v>79999.997134347621</v>
      </c>
      <c r="E32" s="69">
        <f>SUM(E15:E31)</f>
        <v>0</v>
      </c>
      <c r="F32" s="70">
        <f>SUM(F15:F31)</f>
        <v>76699.999627465208</v>
      </c>
      <c r="G32" s="71" t="s">
        <v>35</v>
      </c>
      <c r="H32" s="72">
        <f>SUM(H15:H31)</f>
        <v>15</v>
      </c>
      <c r="I32" s="73">
        <f>SUM(I15:I31)</f>
        <v>513284.99750688253</v>
      </c>
      <c r="J32" s="74"/>
      <c r="L32" s="75">
        <f t="shared" ref="L32:R32" si="20">SUM(L15:L31)</f>
        <v>1179.9999942686952</v>
      </c>
      <c r="M32" s="76">
        <f>SUM(M15:M31)</f>
        <v>60745.079999999994</v>
      </c>
      <c r="N32" s="77">
        <f t="shared" si="20"/>
        <v>31388.599713434764</v>
      </c>
      <c r="O32" s="77">
        <f t="shared" si="20"/>
        <v>8007.3060000000005</v>
      </c>
      <c r="P32" s="78">
        <f t="shared" si="20"/>
        <v>0</v>
      </c>
      <c r="Q32" s="77">
        <f t="shared" si="20"/>
        <v>14081.814000000002</v>
      </c>
      <c r="R32" s="77">
        <f t="shared" si="20"/>
        <v>15694.299856717382</v>
      </c>
      <c r="S32" s="79"/>
    </row>
    <row r="33" spans="1:13" ht="13.8" thickBot="1" x14ac:dyDescent="0.3">
      <c r="A33" s="80"/>
      <c r="B33" s="80"/>
      <c r="C33" s="91">
        <f>C32+D32</f>
        <v>589999.99713434768</v>
      </c>
      <c r="D33" s="92"/>
      <c r="L33" s="30"/>
      <c r="M33" s="30"/>
    </row>
    <row r="34" spans="1:13" x14ac:dyDescent="0.25">
      <c r="A34" s="81" t="s">
        <v>54</v>
      </c>
      <c r="M34" s="30"/>
    </row>
    <row r="35" spans="1:13" x14ac:dyDescent="0.25">
      <c r="B35" s="82"/>
      <c r="D35" s="81" t="s">
        <v>55</v>
      </c>
      <c r="H35" s="83"/>
      <c r="M35" s="30"/>
    </row>
    <row r="36" spans="1:13" x14ac:dyDescent="0.25">
      <c r="H36" s="30"/>
    </row>
    <row r="37" spans="1:13" x14ac:dyDescent="0.25">
      <c r="A37" s="81"/>
      <c r="D37" s="81"/>
    </row>
    <row r="38" spans="1:13" x14ac:dyDescent="0.25">
      <c r="A38" s="93" t="s">
        <v>56</v>
      </c>
      <c r="B38" s="93"/>
      <c r="C38" s="93"/>
      <c r="D38" s="93"/>
      <c r="E38" s="93"/>
      <c r="F38" s="93"/>
      <c r="G38" s="93"/>
      <c r="H38" s="30">
        <f>(F15+S15)/I15</f>
        <v>0.40700191743843306</v>
      </c>
      <c r="I38" s="1" t="s">
        <v>57</v>
      </c>
    </row>
    <row r="39" spans="1:13" x14ac:dyDescent="0.25">
      <c r="A39" s="93" t="s">
        <v>58</v>
      </c>
      <c r="B39" s="93"/>
      <c r="C39" s="93"/>
      <c r="D39" s="93"/>
      <c r="E39" s="93"/>
      <c r="F39" s="93"/>
      <c r="G39" s="93"/>
      <c r="H39" s="30">
        <f>(F20+S20)/I20</f>
        <v>0.39699759822921737</v>
      </c>
      <c r="I39" s="1" t="s">
        <v>57</v>
      </c>
    </row>
    <row r="40" spans="1:13" x14ac:dyDescent="0.25">
      <c r="A40" s="84"/>
    </row>
    <row r="41" spans="1:13" x14ac:dyDescent="0.25">
      <c r="A41" s="94" t="s">
        <v>59</v>
      </c>
      <c r="B41" s="94"/>
      <c r="C41" s="94"/>
      <c r="D41" s="94"/>
      <c r="E41" s="94"/>
      <c r="F41" s="94"/>
      <c r="G41" s="94"/>
      <c r="H41" s="94"/>
      <c r="I41" s="94"/>
      <c r="J41" s="94"/>
    </row>
    <row r="42" spans="1:13" x14ac:dyDescent="0.25">
      <c r="B42" s="20" t="s">
        <v>60</v>
      </c>
      <c r="C42" s="85">
        <f>MINA(I15:I31)</f>
        <v>27180.204212692384</v>
      </c>
      <c r="D42" s="20">
        <f t="array" ref="D42:D45">FREQUENCY(I15:I31,C42:C44)</f>
        <v>1</v>
      </c>
      <c r="F42" s="86" t="s">
        <v>61</v>
      </c>
      <c r="G42" s="87"/>
      <c r="H42" s="20">
        <v>10000</v>
      </c>
      <c r="I42" s="20">
        <f t="array" ref="I42:I46">FREQUENCY(I15:I31,H42:H45)</f>
        <v>0</v>
      </c>
    </row>
    <row r="43" spans="1:13" x14ac:dyDescent="0.25">
      <c r="B43" s="20" t="s">
        <v>62</v>
      </c>
      <c r="C43" s="85">
        <f>AVERAGEA(I13:I22)</f>
        <v>27332.139458653815</v>
      </c>
      <c r="D43" s="20">
        <v>1</v>
      </c>
      <c r="F43" s="86" t="s">
        <v>63</v>
      </c>
      <c r="G43" s="87"/>
      <c r="H43" s="20">
        <v>20000</v>
      </c>
      <c r="I43" s="20">
        <v>0</v>
      </c>
    </row>
    <row r="44" spans="1:13" x14ac:dyDescent="0.25">
      <c r="B44" s="20" t="s">
        <v>64</v>
      </c>
      <c r="C44" s="85">
        <f>MAXA(I15:I31)</f>
        <v>33824.263312302115</v>
      </c>
      <c r="D44" s="20">
        <v>15</v>
      </c>
      <c r="F44" s="86" t="s">
        <v>65</v>
      </c>
      <c r="G44" s="87"/>
      <c r="H44" s="20">
        <v>30000</v>
      </c>
      <c r="I44" s="20">
        <v>10</v>
      </c>
    </row>
    <row r="45" spans="1:13" x14ac:dyDescent="0.25">
      <c r="B45" s="20"/>
      <c r="C45" s="20"/>
      <c r="D45" s="20">
        <v>0</v>
      </c>
      <c r="F45" s="86" t="s">
        <v>66</v>
      </c>
      <c r="G45" s="87"/>
      <c r="H45" s="20">
        <v>40000</v>
      </c>
      <c r="I45" s="20">
        <v>7</v>
      </c>
    </row>
    <row r="46" spans="1:13" x14ac:dyDescent="0.25">
      <c r="F46" s="86" t="s">
        <v>67</v>
      </c>
      <c r="G46" s="87"/>
      <c r="H46" s="20"/>
      <c r="I46" s="20">
        <v>0</v>
      </c>
    </row>
    <row r="47" spans="1:13" x14ac:dyDescent="0.25">
      <c r="D47" s="1">
        <f>SUM(D42:D46)</f>
        <v>17</v>
      </c>
      <c r="I47" s="1">
        <f>SUM(I42:I46)</f>
        <v>17</v>
      </c>
    </row>
  </sheetData>
  <mergeCells count="26">
    <mergeCell ref="A6:C6"/>
    <mergeCell ref="A1:S1"/>
    <mergeCell ref="A2:D2"/>
    <mergeCell ref="A3:H3"/>
    <mergeCell ref="A4:C4"/>
    <mergeCell ref="A5:C5"/>
    <mergeCell ref="L8:R8"/>
    <mergeCell ref="D9:D13"/>
    <mergeCell ref="G9:I9"/>
    <mergeCell ref="L9:L12"/>
    <mergeCell ref="M9:N11"/>
    <mergeCell ref="O9:P11"/>
    <mergeCell ref="Q9:R11"/>
    <mergeCell ref="E10:E13"/>
    <mergeCell ref="F10:F13"/>
    <mergeCell ref="G10:H10"/>
    <mergeCell ref="C33:D33"/>
    <mergeCell ref="A38:G38"/>
    <mergeCell ref="A39:G39"/>
    <mergeCell ref="A41:J41"/>
    <mergeCell ref="F42:G42"/>
    <mergeCell ref="F43:G43"/>
    <mergeCell ref="F44:G44"/>
    <mergeCell ref="F45:G45"/>
    <mergeCell ref="F46:G46"/>
    <mergeCell ref="J10:J13"/>
  </mergeCells>
  <pageMargins left="0" right="0" top="0" bottom="0" header="0" footer="0"/>
  <pageSetup paperSize="9" orientation="landscape" horizontalDpi="120" verticalDpi="7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ЭтаКнига.UserForm1">
                <anchor moveWithCells="1">
                  <from>
                    <xdr:col>8</xdr:col>
                    <xdr:colOff>525780</xdr:colOff>
                    <xdr:row>1</xdr:row>
                    <xdr:rowOff>160020</xdr:rowOff>
                  </from>
                  <to>
                    <xdr:col>9</xdr:col>
                    <xdr:colOff>601980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ЭтаКнига.UserFom2">
                <anchor moveWithCells="1">
                  <from>
                    <xdr:col>10</xdr:col>
                    <xdr:colOff>38100</xdr:colOff>
                    <xdr:row>2</xdr:row>
                    <xdr:rowOff>7620</xdr:rowOff>
                  </from>
                  <to>
                    <xdr:col>12</xdr:col>
                    <xdr:colOff>83820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расч.З.П. </vt:lpstr>
      <vt:lpstr>МРОТ</vt:lpstr>
      <vt:lpstr>МРОТ_UP_ОМС</vt:lpstr>
      <vt:lpstr>МРОТ_UP_ПФ</vt:lpstr>
      <vt:lpstr>МРОТ_ОМС</vt:lpstr>
      <vt:lpstr>МРОТ_ПФ</vt:lpstr>
      <vt:lpstr>МРОТUP_ПФ</vt:lpstr>
      <vt:lpstr>Нагр_UP_MROT</vt:lpstr>
      <vt:lpstr>НагрузкаМРОТ</vt:lpstr>
      <vt:lpstr>ОМС_МРОТ</vt:lpstr>
      <vt:lpstr>СОЦ_СТРАХ</vt:lpstr>
      <vt:lpstr>Травматизм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Садыгов Даниз</cp:lastModifiedBy>
  <dcterms:created xsi:type="dcterms:W3CDTF">2023-03-17T06:16:21Z</dcterms:created>
  <dcterms:modified xsi:type="dcterms:W3CDTF">2023-03-24T13:41:07Z</dcterms:modified>
</cp:coreProperties>
</file>